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showInkAnnotation="0" codeName="DieseArbeitsmappe" autoCompressPictures="0"/>
  <mc:AlternateContent xmlns:mc="http://schemas.openxmlformats.org/markup-compatibility/2006">
    <mc:Choice Requires="x15">
      <x15ac:absPath xmlns:x15ac="http://schemas.microsoft.com/office/spreadsheetml/2010/11/ac" url="C:\Users\oniku\IdeaProjects\SPM_MoinMetrics\berichte\"/>
    </mc:Choice>
  </mc:AlternateContent>
  <xr:revisionPtr revIDLastSave="0" documentId="13_ncr:1_{0B078141-25DB-47E9-A8B9-10B3BA6490C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Report" sheetId="1" r:id="rId1"/>
    <sheet name="MTA" sheetId="2" r:id="rId2"/>
    <sheet name="Arbeitsanalyse" sheetId="3" r:id="rId3"/>
  </sheets>
  <definedNames>
    <definedName name="_xlnm.Print_Area" localSheetId="2">Arbeitsanalyse!$A$1:$L$97</definedName>
    <definedName name="_xlnm.Print_Area" localSheetId="1">MTA!$A$1:$I$68</definedName>
    <definedName name="_xlnm.Print_Area" localSheetId="0">Report!$A$1:$I$67</definedName>
    <definedName name="Z_267CC0B3_6A13_40E2_B883_F5101A181CE5_.wvu.PrintArea" localSheetId="2" hidden="1">Arbeitsanalyse!$A$1:$L$97</definedName>
    <definedName name="Z_267CC0B3_6A13_40E2_B883_F5101A181CE5_.wvu.PrintArea" localSheetId="1" hidden="1">MTA!$A$1:$I$68</definedName>
    <definedName name="Z_267CC0B3_6A13_40E2_B883_F5101A181CE5_.wvu.PrintArea" localSheetId="0" hidden="1">Report!$A$1:$I$67</definedName>
  </definedNames>
  <calcPr calcId="191029"/>
  <customWorkbookViews>
    <customWorkbookView name="Prof. Dr. Gerrit Jan Veltink - Persönliche Ansicht" guid="{267CC0B3-6A13-40E2-B883-F5101A181CE5}" mergeInterval="0" personalView="1" maximized="1" windowWidth="1633" windowHeight="796" activeSheetId="2"/>
    <customWorkbookView name="Gert Veltink - Persönliche Ansicht" guid="{5EA89B68-426F-4FEF-AE0E-44F40F832319}" mergeInterval="0" personalView="1" maximized="1" windowWidth="1176" windowHeight="713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H3" i="1" l="1"/>
  <c r="D3" i="1"/>
  <c r="B1" i="3"/>
  <c r="B2" i="3"/>
  <c r="A7" i="3" s="1"/>
  <c r="E7" i="3"/>
  <c r="E8" i="3" s="1"/>
  <c r="E9" i="3" s="1"/>
  <c r="E10" i="3" s="1"/>
  <c r="E11" i="3" s="1"/>
  <c r="H7" i="3"/>
  <c r="H8" i="3"/>
  <c r="H9" i="3" s="1"/>
  <c r="I15" i="3"/>
  <c r="I16" i="3"/>
  <c r="I17" i="3"/>
  <c r="I18" i="3"/>
  <c r="I19" i="3"/>
  <c r="I20" i="3"/>
  <c r="I21" i="3"/>
  <c r="I22" i="3"/>
  <c r="I23" i="3"/>
  <c r="A5" i="2"/>
  <c r="A6" i="2" s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C25" i="2"/>
  <c r="D26" i="2"/>
  <c r="E27" i="2"/>
  <c r="F28" i="2"/>
  <c r="G29" i="2"/>
  <c r="H30" i="2"/>
  <c r="I31" i="2"/>
  <c r="K23" i="2" l="1"/>
  <c r="B5" i="2"/>
  <c r="B34" i="2" s="1"/>
  <c r="B38" i="2" s="1"/>
  <c r="C6" i="3"/>
  <c r="B7" i="3" s="1"/>
  <c r="A8" i="3"/>
  <c r="C8" i="3" s="1"/>
  <c r="B9" i="3" s="1"/>
  <c r="A7" i="2"/>
  <c r="B6" i="2"/>
  <c r="E12" i="3"/>
  <c r="M5" i="2"/>
  <c r="H10" i="3"/>
  <c r="J5" i="2" l="1"/>
  <c r="J15" i="2"/>
  <c r="J17" i="2"/>
  <c r="J18" i="2"/>
  <c r="J19" i="2"/>
  <c r="J20" i="2"/>
  <c r="J22" i="2"/>
  <c r="J10" i="2"/>
  <c r="J16" i="2"/>
  <c r="J21" i="2"/>
  <c r="J8" i="2"/>
  <c r="J6" i="2"/>
  <c r="J7" i="2"/>
  <c r="J9" i="2"/>
  <c r="J11" i="2"/>
  <c r="J12" i="2"/>
  <c r="J13" i="2"/>
  <c r="J14" i="2"/>
  <c r="C7" i="3"/>
  <c r="B8" i="3" s="1"/>
  <c r="A9" i="3"/>
  <c r="E13" i="3"/>
  <c r="M6" i="2"/>
  <c r="B7" i="2"/>
  <c r="A8" i="2"/>
  <c r="H11" i="3"/>
  <c r="C9" i="3" l="1"/>
  <c r="B10" i="3" s="1"/>
  <c r="A10" i="3"/>
  <c r="A9" i="2"/>
  <c r="B8" i="2"/>
  <c r="M7" i="2"/>
  <c r="E14" i="3"/>
  <c r="H12" i="3"/>
  <c r="A11" i="3" l="1"/>
  <c r="C10" i="3"/>
  <c r="B11" i="3" s="1"/>
  <c r="M8" i="2"/>
  <c r="B9" i="2"/>
  <c r="A10" i="2"/>
  <c r="E15" i="3"/>
  <c r="H13" i="3"/>
  <c r="C11" i="3" l="1"/>
  <c r="B12" i="3" s="1"/>
  <c r="A12" i="3"/>
  <c r="H14" i="3"/>
  <c r="E16" i="3"/>
  <c r="A11" i="2"/>
  <c r="B10" i="2"/>
  <c r="M9" i="2"/>
  <c r="C12" i="3" l="1"/>
  <c r="B13" i="3" s="1"/>
  <c r="A13" i="3"/>
  <c r="H15" i="3"/>
  <c r="H16" i="3" s="1"/>
  <c r="H17" i="3" s="1"/>
  <c r="H18" i="3" s="1"/>
  <c r="H19" i="3" s="1"/>
  <c r="H20" i="3" s="1"/>
  <c r="H21" i="3" s="1"/>
  <c r="H22" i="3" s="1"/>
  <c r="H23" i="3" s="1"/>
  <c r="E17" i="3"/>
  <c r="M10" i="2"/>
  <c r="B11" i="2"/>
  <c r="A12" i="2"/>
  <c r="A14" i="3" l="1"/>
  <c r="C13" i="3"/>
  <c r="B14" i="3" s="1"/>
  <c r="E18" i="3"/>
  <c r="A13" i="2"/>
  <c r="B12" i="2"/>
  <c r="M11" i="2"/>
  <c r="C14" i="3" l="1"/>
  <c r="B15" i="3" s="1"/>
  <c r="A15" i="3"/>
  <c r="A14" i="2"/>
  <c r="B13" i="2"/>
  <c r="E19" i="3"/>
  <c r="M12" i="2"/>
  <c r="C15" i="3" l="1"/>
  <c r="B16" i="3" s="1"/>
  <c r="A16" i="3"/>
  <c r="C16" i="3"/>
  <c r="B17" i="3" s="1"/>
  <c r="A17" i="3"/>
  <c r="E20" i="3"/>
  <c r="M13" i="2"/>
  <c r="A15" i="2"/>
  <c r="B14" i="2"/>
  <c r="B15" i="2" l="1"/>
  <c r="A16" i="2"/>
  <c r="M14" i="2"/>
  <c r="E21" i="3"/>
  <c r="C17" i="3"/>
  <c r="B18" i="3" s="1"/>
  <c r="A18" i="3"/>
  <c r="E22" i="3" l="1"/>
  <c r="C18" i="3"/>
  <c r="B19" i="3" s="1"/>
  <c r="A19" i="3"/>
  <c r="A17" i="2"/>
  <c r="B16" i="2"/>
  <c r="M15" i="2"/>
  <c r="M16" i="2" l="1"/>
  <c r="E23" i="3"/>
  <c r="C19" i="3"/>
  <c r="B20" i="3" s="1"/>
  <c r="A20" i="3"/>
  <c r="B17" i="2"/>
  <c r="A18" i="2"/>
  <c r="I14" i="3" l="1"/>
  <c r="F21" i="3"/>
  <c r="F22" i="3"/>
  <c r="F15" i="3"/>
  <c r="F20" i="3"/>
  <c r="F23" i="3"/>
  <c r="F6" i="3"/>
  <c r="I9" i="3"/>
  <c r="I8" i="3"/>
  <c r="F8" i="3"/>
  <c r="I11" i="3"/>
  <c r="F12" i="3"/>
  <c r="I7" i="3"/>
  <c r="I12" i="3"/>
  <c r="I6" i="3"/>
  <c r="F10" i="3"/>
  <c r="F11" i="3"/>
  <c r="F7" i="3"/>
  <c r="F13" i="3"/>
  <c r="F9" i="3"/>
  <c r="I10" i="3"/>
  <c r="F14" i="3"/>
  <c r="F18" i="3"/>
  <c r="F19" i="3"/>
  <c r="F16" i="3"/>
  <c r="I13" i="3"/>
  <c r="F17" i="3"/>
  <c r="A19" i="2"/>
  <c r="B18" i="2"/>
  <c r="M17" i="2"/>
  <c r="C20" i="3"/>
  <c r="B21" i="3" s="1"/>
  <c r="A21" i="3"/>
  <c r="B19" i="2" l="1"/>
  <c r="A20" i="2"/>
  <c r="M18" i="2"/>
  <c r="C21" i="3"/>
  <c r="B22" i="3" s="1"/>
  <c r="A22" i="3"/>
  <c r="A23" i="3" l="1"/>
  <c r="C23" i="3" s="1"/>
  <c r="C22" i="3"/>
  <c r="B23" i="3" s="1"/>
  <c r="A21" i="2"/>
  <c r="B20" i="2"/>
  <c r="M19" i="2"/>
  <c r="M20" i="2" l="1"/>
  <c r="B21" i="2"/>
  <c r="A22" i="2"/>
  <c r="B22" i="2" s="1"/>
  <c r="M21" i="2" l="1"/>
  <c r="B35" i="2"/>
  <c r="M22" i="2"/>
  <c r="J23" i="2" l="1"/>
</calcChain>
</file>

<file path=xl/sharedStrings.xml><?xml version="1.0" encoding="utf-8"?>
<sst xmlns="http://schemas.openxmlformats.org/spreadsheetml/2006/main" count="103" uniqueCount="90">
  <si>
    <t>: im 1. Bericht (Planung) eintragen</t>
  </si>
  <si>
    <t>: pro Projektbericht eintragen</t>
  </si>
  <si>
    <t>Matrikelnr.:</t>
  </si>
  <si>
    <t>pro Projektbericht eintragen</t>
  </si>
  <si>
    <t>beim Erreichen des Meilensteins eintragen</t>
  </si>
  <si>
    <t>Bitte positionieren Sie, wenn notwendig,</t>
  </si>
  <si>
    <t>die Legenden neu! (auch Vorderseite!)</t>
  </si>
  <si>
    <t>mit den oben gezeigten Werten einstellen, damit</t>
    <phoneticPr fontId="3" type="noConversion"/>
  </si>
  <si>
    <t>die Trendlinien auch sichtbar werden!</t>
    <phoneticPr fontId="3" type="noConversion"/>
  </si>
  <si>
    <t>Hauptintervall:</t>
  </si>
  <si>
    <t>Hilfsintervall:</t>
  </si>
  <si>
    <t>Achse schneidet:</t>
  </si>
  <si>
    <t>min:</t>
  </si>
  <si>
    <t>max:</t>
  </si>
  <si>
    <t>Achsen formatieren!</t>
  </si>
  <si>
    <t>Bitte, die Skalierung der x-/y-Achsen der beiden</t>
  </si>
  <si>
    <t>MTA-Diagramme (Arbeitsblatt: MTA und Report)</t>
  </si>
  <si>
    <t>Messintervall (Tage)</t>
  </si>
  <si>
    <t>Berichtszeitpunkte</t>
  </si>
  <si>
    <t>Projektanfang</t>
  </si>
  <si>
    <t>Woche</t>
  </si>
  <si>
    <t>1. Schätzung am</t>
  </si>
  <si>
    <t>Projekt:</t>
  </si>
  <si>
    <t>Legende</t>
    <phoneticPr fontId="3" type="noConversion"/>
  </si>
  <si>
    <t>Datum:</t>
  </si>
  <si>
    <t>Studierende:</t>
  </si>
  <si>
    <t>Berichtszeitraum:</t>
  </si>
  <si>
    <t>-</t>
  </si>
  <si>
    <t>1. Begleiter:</t>
  </si>
  <si>
    <t>2. Begleiter:</t>
  </si>
  <si>
    <t>Prof. Dr. G.J. Veltink</t>
  </si>
  <si>
    <t>Projekttyp:</t>
  </si>
  <si>
    <t>Mail</t>
  </si>
  <si>
    <t>Telefon</t>
  </si>
  <si>
    <t>(Rechtsklick auf Achse: Achse Formatieren... / Tab: Skalierung)</t>
  </si>
  <si>
    <t>Ergebnisse:</t>
  </si>
  <si>
    <t>Bericht</t>
  </si>
  <si>
    <t>Ziele:</t>
  </si>
  <si>
    <t>Sonstiges:</t>
  </si>
  <si>
    <t>Risiken:</t>
  </si>
  <si>
    <t>Berichtsintervall (Tage)</t>
  </si>
  <si>
    <t>Intervall (Tage):</t>
  </si>
  <si>
    <t>04921-807.1803</t>
  </si>
  <si>
    <t>erreichte Meilensteine</t>
  </si>
  <si>
    <t>Folgenummer:</t>
  </si>
  <si>
    <t>Arbeit Soll</t>
  </si>
  <si>
    <t>Arbeit Soll kum.</t>
  </si>
  <si>
    <t>Arbeit Soll %</t>
  </si>
  <si>
    <t>Arbeit Ist</t>
  </si>
  <si>
    <t>Arbeit Ist kum.</t>
  </si>
  <si>
    <t>Arbeit Ist %</t>
  </si>
  <si>
    <t>Arbeit in Stunden pro Berichtsintervall!</t>
  </si>
  <si>
    <t>Fortschritt (in%)</t>
  </si>
  <si>
    <t>Berichtsintervall</t>
  </si>
  <si>
    <t>Datum</t>
  </si>
  <si>
    <t>Ist</t>
  </si>
  <si>
    <t>Soll</t>
  </si>
  <si>
    <t>gert.veltink@hs-emden-leer.de</t>
  </si>
  <si>
    <t>Meilensteintrendanalyse v3.0</t>
  </si>
  <si>
    <t>© 2005-2025  Prof. Dr. G.J. Veltink - HS Emden/Leer</t>
  </si>
  <si>
    <t>Arbeitsanalyse v3.0</t>
  </si>
  <si>
    <t>© 2005-2025 Prof. Dr. G.J. Veltink - HS Emden/Leer</t>
  </si>
  <si>
    <t>erste Schätzung zum Projektanfang</t>
  </si>
  <si>
    <t>Berichtszeitraum: Montag bis Sonntag! / Folgenummer richtig einstellen / Datum: Erstellung des Projektberichts</t>
  </si>
  <si>
    <t xml:space="preserve">Projekttyp: GP: Großes Projekt, BA: Bachelorarbeit, MA: Masterarbeit, für SMP = Vorgehensmodell! </t>
  </si>
  <si>
    <t>2. Begleiter nicht vergessen!</t>
  </si>
  <si>
    <t>Hinweise</t>
  </si>
  <si>
    <t>Formatierung nicht kaputtändern!</t>
  </si>
  <si>
    <t>MTA: Achsen anpassen</t>
  </si>
  <si>
    <t>MTA: Legende anpassen, damit alle Meilensteine sichtbar sind</t>
  </si>
  <si>
    <t>Arbeitsanalyse: nicht vergessen eigene Werte einzutragen!</t>
  </si>
  <si>
    <t>Project Report Sheet v3.1   ●   © 2005-2025  Prof. Dr. G.J. Veltink   ●   HS Emden/Leer</t>
  </si>
  <si>
    <t>Hilke Fasse</t>
  </si>
  <si>
    <t>Ino Wölke</t>
  </si>
  <si>
    <t>Lukas Pancratius</t>
  </si>
  <si>
    <t>Alexander Borrmann</t>
  </si>
  <si>
    <t>V-Modell</t>
  </si>
  <si>
    <t>ino.woelke@stud.hs-emden-leer.de</t>
  </si>
  <si>
    <t>lukas.pancratius@stud.hs-emden-leer.de</t>
  </si>
  <si>
    <t>alexander.borrmann@stud.hs-emden-leer.de</t>
  </si>
  <si>
    <t>MoinMetrics</t>
  </si>
  <si>
    <t>Anforderungsanalyse</t>
  </si>
  <si>
    <t>Abschluss Systementwurf</t>
  </si>
  <si>
    <t>Abschluss Implementierung</t>
  </si>
  <si>
    <t>Integrations-/Systemtests</t>
  </si>
  <si>
    <t>Abnahmetest</t>
  </si>
  <si>
    <t>Systemarchitektur freigeben</t>
  </si>
  <si>
    <t>Abschluss Software-Architektur</t>
  </si>
  <si>
    <t>Offene Abstimmungspunkte mit KaufDort abstimmen. Architektur und Systementwurf aus Anforderungen ableiten</t>
  </si>
  <si>
    <t>Im Rahmen der Anforderungsanalyse wurden die Anforderungen der KaufDort-Warenkorbanalyse vollständig strukturiert und mit eindeutigen Bezeichnern versehen. Ergänzend wurden die Eigenschaften gut formulierter Anforderungen dokumentiert und offene Abstimmungspunkte je Anforderung festgehalten. Für die Aufwandsschätzung wurden zwei Verfahren durchgeführt: Die PERT-Expertenschätzung ergab einen Mittelwert von 220 Personenstunden. Die Analogieschätzung nach McConnell lieferte 291 Personenstunden. Daraus wurde ein Gesamtaufwand von 256 Personenstunden und ein Planungswert von 282 Personenstunden inklusive 10 % Risikoreserve abgeleitet. Das Vorgehen wurde in das V-Modell eingeordnet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</si>
</sst>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b/>
      <sz val="10"/>
      <color indexed="54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indexed="47"/>
      <name val="Arial"/>
      <family val="2"/>
    </font>
    <font>
      <sz val="10"/>
      <color indexed="52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61"/>
      <name val="Arial"/>
      <family val="2"/>
    </font>
    <font>
      <b/>
      <sz val="10"/>
      <color indexed="57"/>
      <name val="Arial"/>
      <family val="2"/>
    </font>
    <font>
      <b/>
      <sz val="10"/>
      <color indexed="19"/>
      <name val="Arial"/>
      <family val="2"/>
    </font>
    <font>
      <sz val="10"/>
      <color indexed="55"/>
      <name val="Arial"/>
      <family val="2"/>
    </font>
    <font>
      <sz val="10"/>
      <color indexed="9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7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56">
    <xf numFmtId="0" fontId="0" fillId="0" borderId="0" xfId="0"/>
    <xf numFmtId="0" fontId="0" fillId="0" borderId="0" xfId="0" applyProtection="1">
      <protection locked="0"/>
    </xf>
    <xf numFmtId="0" fontId="2" fillId="0" borderId="0" xfId="0" quotePrefix="1" applyFont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0" xfId="0" applyFont="1" applyAlignment="1">
      <alignment horizontal="right"/>
    </xf>
    <xf numFmtId="0" fontId="9" fillId="0" borderId="0" xfId="0" applyFont="1" applyAlignment="1">
      <alignment vertical="top" wrapText="1"/>
    </xf>
    <xf numFmtId="14" fontId="4" fillId="0" borderId="0" xfId="0" applyNumberFormat="1" applyFont="1" applyProtection="1">
      <protection locked="0"/>
    </xf>
    <xf numFmtId="2" fontId="4" fillId="0" borderId="0" xfId="0" applyNumberFormat="1" applyFont="1" applyProtection="1">
      <protection locked="0"/>
    </xf>
    <xf numFmtId="164" fontId="4" fillId="0" borderId="0" xfId="0" applyNumberFormat="1" applyFont="1" applyProtection="1">
      <protection locked="0"/>
    </xf>
    <xf numFmtId="0" fontId="6" fillId="0" borderId="0" xfId="0" applyFont="1"/>
    <xf numFmtId="49" fontId="0" fillId="0" borderId="0" xfId="0" applyNumberFormat="1" applyProtection="1">
      <protection locked="0"/>
    </xf>
    <xf numFmtId="0" fontId="1" fillId="0" borderId="0" xfId="1" applyFont="1" applyAlignment="1" applyProtection="1">
      <protection locked="0"/>
    </xf>
    <xf numFmtId="0" fontId="4" fillId="0" borderId="0" xfId="0" applyFont="1" applyAlignment="1">
      <alignment horizontal="right"/>
    </xf>
    <xf numFmtId="0" fontId="4" fillId="0" borderId="0" xfId="0" applyFont="1"/>
    <xf numFmtId="0" fontId="12" fillId="0" borderId="0" xfId="0" applyFont="1" applyAlignment="1" applyProtection="1">
      <alignment horizontal="left"/>
      <protection locked="0"/>
    </xf>
    <xf numFmtId="14" fontId="0" fillId="0" borderId="0" xfId="0" applyNumberFormat="1"/>
    <xf numFmtId="14" fontId="4" fillId="0" borderId="0" xfId="0" applyNumberFormat="1" applyFont="1"/>
    <xf numFmtId="2" fontId="0" fillId="0" borderId="0" xfId="0" applyNumberFormat="1"/>
    <xf numFmtId="0" fontId="7" fillId="0" borderId="0" xfId="0" quotePrefix="1" applyFont="1" applyAlignment="1">
      <alignment horizontal="right"/>
    </xf>
    <xf numFmtId="0" fontId="6" fillId="0" borderId="0" xfId="0" quotePrefix="1" applyFont="1" applyAlignment="1">
      <alignment horizontal="right"/>
    </xf>
    <xf numFmtId="14" fontId="2" fillId="0" borderId="0" xfId="0" applyNumberFormat="1" applyFont="1" applyAlignment="1">
      <alignment horizontal="right"/>
    </xf>
    <xf numFmtId="2" fontId="1" fillId="0" borderId="0" xfId="0" applyNumberFormat="1" applyFont="1"/>
    <xf numFmtId="0" fontId="4" fillId="0" borderId="0" xfId="0" applyFont="1" applyProtection="1">
      <protection locked="0"/>
    </xf>
    <xf numFmtId="0" fontId="9" fillId="0" borderId="0" xfId="0" applyFont="1" applyAlignment="1" applyProtection="1">
      <alignment horizontal="left"/>
      <protection locked="0"/>
    </xf>
    <xf numFmtId="14" fontId="6" fillId="0" borderId="0" xfId="0" applyNumberFormat="1" applyFont="1"/>
    <xf numFmtId="0" fontId="4" fillId="0" borderId="0" xfId="0" applyFont="1" applyAlignment="1">
      <alignment horizontal="left"/>
    </xf>
    <xf numFmtId="14" fontId="13" fillId="0" borderId="0" xfId="0" applyNumberFormat="1" applyFont="1" applyProtection="1">
      <protection hidden="1"/>
    </xf>
    <xf numFmtId="14" fontId="14" fillId="0" borderId="0" xfId="0" applyNumberFormat="1" applyFont="1" applyProtection="1">
      <protection hidden="1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0" fontId="15" fillId="0" borderId="0" xfId="0" applyFont="1"/>
    <xf numFmtId="0" fontId="16" fillId="0" borderId="0" xfId="0" quotePrefix="1" applyFont="1" applyAlignment="1">
      <alignment horizontal="right"/>
    </xf>
    <xf numFmtId="0" fontId="17" fillId="0" borderId="0" xfId="0" quotePrefix="1" applyFont="1" applyAlignment="1">
      <alignment horizontal="right"/>
    </xf>
    <xf numFmtId="0" fontId="18" fillId="0" borderId="0" xfId="0" applyFont="1" applyAlignment="1">
      <alignment horizontal="right"/>
    </xf>
    <xf numFmtId="14" fontId="15" fillId="0" borderId="0" xfId="0" applyNumberFormat="1" applyFont="1"/>
    <xf numFmtId="14" fontId="4" fillId="3" borderId="14" xfId="0" applyNumberFormat="1" applyFont="1" applyFill="1" applyBorder="1" applyProtection="1">
      <protection locked="0"/>
    </xf>
    <xf numFmtId="14" fontId="4" fillId="4" borderId="14" xfId="0" applyNumberFormat="1" applyFont="1" applyFill="1" applyBorder="1" applyProtection="1">
      <protection locked="0"/>
    </xf>
    <xf numFmtId="0" fontId="4" fillId="3" borderId="14" xfId="0" applyFont="1" applyFill="1" applyBorder="1" applyProtection="1">
      <protection locked="0"/>
    </xf>
    <xf numFmtId="0" fontId="0" fillId="2" borderId="0" xfId="0" applyFill="1"/>
    <xf numFmtId="0" fontId="0" fillId="3" borderId="0" xfId="0" applyFill="1"/>
    <xf numFmtId="14" fontId="11" fillId="5" borderId="15" xfId="0" applyNumberFormat="1" applyFont="1" applyFill="1" applyBorder="1" applyAlignment="1">
      <alignment horizontal="center"/>
    </xf>
    <xf numFmtId="164" fontId="11" fillId="7" borderId="17" xfId="0" applyNumberFormat="1" applyFont="1" applyFill="1" applyBorder="1" applyAlignment="1">
      <alignment horizontal="center"/>
    </xf>
    <xf numFmtId="2" fontId="4" fillId="3" borderId="0" xfId="0" applyNumberFormat="1" applyFont="1" applyFill="1" applyProtection="1">
      <protection locked="0"/>
    </xf>
    <xf numFmtId="164" fontId="4" fillId="2" borderId="0" xfId="0" applyNumberFormat="1" applyFont="1" applyFill="1" applyProtection="1">
      <protection locked="0"/>
    </xf>
    <xf numFmtId="14" fontId="21" fillId="0" borderId="19" xfId="0" applyNumberFormat="1" applyFont="1" applyBorder="1" applyAlignment="1">
      <alignment horizontal="right"/>
    </xf>
    <xf numFmtId="2" fontId="19" fillId="0" borderId="20" xfId="0" applyNumberFormat="1" applyFont="1" applyBorder="1" applyAlignment="1">
      <alignment horizontal="right"/>
    </xf>
    <xf numFmtId="2" fontId="19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164" fontId="19" fillId="0" borderId="21" xfId="0" applyNumberFormat="1" applyFont="1" applyBorder="1" applyAlignment="1">
      <alignment horizontal="right"/>
    </xf>
    <xf numFmtId="2" fontId="20" fillId="0" borderId="20" xfId="0" applyNumberFormat="1" applyFont="1" applyBorder="1" applyAlignment="1">
      <alignment horizontal="right"/>
    </xf>
    <xf numFmtId="2" fontId="20" fillId="0" borderId="21" xfId="0" applyNumberFormat="1" applyFont="1" applyBorder="1" applyAlignment="1">
      <alignment horizontal="right"/>
    </xf>
    <xf numFmtId="14" fontId="22" fillId="0" borderId="1" xfId="0" applyNumberFormat="1" applyFont="1" applyBorder="1"/>
    <xf numFmtId="2" fontId="22" fillId="0" borderId="2" xfId="0" applyNumberFormat="1" applyFont="1" applyBorder="1"/>
    <xf numFmtId="164" fontId="22" fillId="0" borderId="2" xfId="0" applyNumberFormat="1" applyFont="1" applyBorder="1"/>
    <xf numFmtId="164" fontId="22" fillId="0" borderId="3" xfId="0" applyNumberFormat="1" applyFont="1" applyBorder="1"/>
    <xf numFmtId="14" fontId="0" fillId="0" borderId="7" xfId="0" applyNumberFormat="1" applyBorder="1"/>
    <xf numFmtId="164" fontId="4" fillId="3" borderId="8" xfId="0" applyNumberFormat="1" applyFont="1" applyFill="1" applyBorder="1" applyProtection="1">
      <protection locked="0"/>
    </xf>
    <xf numFmtId="14" fontId="0" fillId="0" borderId="4" xfId="0" applyNumberFormat="1" applyBorder="1"/>
    <xf numFmtId="2" fontId="1" fillId="0" borderId="5" xfId="0" applyNumberFormat="1" applyFont="1" applyBorder="1"/>
    <xf numFmtId="164" fontId="1" fillId="0" borderId="5" xfId="0" applyNumberFormat="1" applyFont="1" applyBorder="1"/>
    <xf numFmtId="2" fontId="4" fillId="3" borderId="5" xfId="0" applyNumberFormat="1" applyFont="1" applyFill="1" applyBorder="1" applyProtection="1">
      <protection locked="0"/>
    </xf>
    <xf numFmtId="164" fontId="4" fillId="2" borderId="5" xfId="0" applyNumberFormat="1" applyFont="1" applyFill="1" applyBorder="1" applyProtection="1">
      <protection locked="0"/>
    </xf>
    <xf numFmtId="164" fontId="4" fillId="3" borderId="6" xfId="0" applyNumberFormat="1" applyFont="1" applyFill="1" applyBorder="1" applyProtection="1">
      <protection locked="0"/>
    </xf>
    <xf numFmtId="14" fontId="22" fillId="0" borderId="22" xfId="0" applyNumberFormat="1" applyFont="1" applyBorder="1"/>
    <xf numFmtId="14" fontId="0" fillId="0" borderId="23" xfId="0" applyNumberFormat="1" applyBorder="1"/>
    <xf numFmtId="14" fontId="0" fillId="0" borderId="13" xfId="0" applyNumberFormat="1" applyBorder="1"/>
    <xf numFmtId="14" fontId="22" fillId="0" borderId="3" xfId="0" applyNumberFormat="1" applyFont="1" applyBorder="1"/>
    <xf numFmtId="14" fontId="0" fillId="0" borderId="8" xfId="0" applyNumberFormat="1" applyBorder="1"/>
    <xf numFmtId="14" fontId="0" fillId="0" borderId="6" xfId="0" applyNumberFormat="1" applyBorder="1"/>
    <xf numFmtId="2" fontId="22" fillId="0" borderId="1" xfId="0" applyNumberFormat="1" applyFont="1" applyBorder="1"/>
    <xf numFmtId="2" fontId="4" fillId="2" borderId="7" xfId="0" applyNumberFormat="1" applyFont="1" applyFill="1" applyBorder="1" applyProtection="1">
      <protection locked="0"/>
    </xf>
    <xf numFmtId="164" fontId="1" fillId="0" borderId="8" xfId="0" applyNumberFormat="1" applyFont="1" applyBorder="1"/>
    <xf numFmtId="2" fontId="4" fillId="2" borderId="4" xfId="0" applyNumberFormat="1" applyFont="1" applyFill="1" applyBorder="1" applyProtection="1">
      <protection locked="0"/>
    </xf>
    <xf numFmtId="164" fontId="1" fillId="0" borderId="6" xfId="0" applyNumberFormat="1" applyFont="1" applyBorder="1"/>
    <xf numFmtId="0" fontId="15" fillId="4" borderId="0" xfId="0" applyFont="1" applyFill="1"/>
    <xf numFmtId="0" fontId="0" fillId="0" borderId="6" xfId="0" applyBorder="1" applyProtection="1">
      <protection locked="0"/>
    </xf>
    <xf numFmtId="0" fontId="9" fillId="0" borderId="2" xfId="0" applyFont="1" applyBorder="1" applyAlignment="1" applyProtection="1">
      <alignment horizontal="left"/>
      <protection locked="0"/>
    </xf>
    <xf numFmtId="49" fontId="0" fillId="0" borderId="2" xfId="0" applyNumberFormat="1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1" fillId="0" borderId="5" xfId="1" applyFont="1" applyBorder="1" applyAlignment="1" applyProtection="1">
      <protection locked="0"/>
    </xf>
    <xf numFmtId="49" fontId="0" fillId="0" borderId="5" xfId="0" applyNumberFormat="1" applyBorder="1" applyProtection="1">
      <protection locked="0"/>
    </xf>
    <xf numFmtId="0" fontId="4" fillId="0" borderId="5" xfId="0" applyFont="1" applyBorder="1" applyAlignment="1">
      <alignment horizontal="right"/>
    </xf>
    <xf numFmtId="0" fontId="0" fillId="0" borderId="6" xfId="0" applyBorder="1" applyAlignment="1" applyProtection="1">
      <alignment horizontal="left"/>
      <protection locked="0"/>
    </xf>
    <xf numFmtId="14" fontId="2" fillId="0" borderId="1" xfId="0" applyNumberFormat="1" applyFont="1" applyBorder="1" applyAlignment="1" applyProtection="1">
      <alignment horizontal="left"/>
      <protection locked="0"/>
    </xf>
    <xf numFmtId="0" fontId="2" fillId="0" borderId="2" xfId="0" quotePrefix="1" applyFont="1" applyBorder="1" applyAlignment="1">
      <alignment horizontal="center"/>
    </xf>
    <xf numFmtId="14" fontId="2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right"/>
    </xf>
    <xf numFmtId="14" fontId="2" fillId="0" borderId="3" xfId="0" applyNumberFormat="1" applyFont="1" applyBorder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left"/>
      <protection locked="0"/>
    </xf>
    <xf numFmtId="0" fontId="2" fillId="0" borderId="5" xfId="0" quotePrefix="1" applyFont="1" applyBorder="1" applyAlignment="1" applyProtection="1">
      <alignment horizontal="center"/>
      <protection locked="0"/>
    </xf>
    <xf numFmtId="14" fontId="2" fillId="0" borderId="5" xfId="0" applyNumberFormat="1" applyFont="1" applyBorder="1" applyAlignment="1" applyProtection="1">
      <alignment horizontal="left"/>
      <protection locked="0"/>
    </xf>
    <xf numFmtId="0" fontId="0" fillId="0" borderId="5" xfId="0" applyBorder="1" applyProtection="1">
      <protection locked="0"/>
    </xf>
    <xf numFmtId="0" fontId="0" fillId="0" borderId="3" xfId="0" applyBorder="1" applyProtection="1">
      <protection locked="0"/>
    </xf>
    <xf numFmtId="14" fontId="4" fillId="2" borderId="13" xfId="0" applyNumberFormat="1" applyFont="1" applyFill="1" applyBorder="1" applyProtection="1">
      <protection locked="0"/>
    </xf>
    <xf numFmtId="0" fontId="2" fillId="2" borderId="9" xfId="0" applyFont="1" applyFill="1" applyBorder="1" applyAlignment="1" applyProtection="1">
      <alignment horizontal="left"/>
      <protection locked="0"/>
    </xf>
    <xf numFmtId="0" fontId="2" fillId="2" borderId="10" xfId="0" applyFont="1" applyFill="1" applyBorder="1" applyAlignment="1" applyProtection="1">
      <alignment horizontal="left"/>
      <protection locked="0"/>
    </xf>
    <xf numFmtId="0" fontId="2" fillId="2" borderId="11" xfId="0" applyFont="1" applyFill="1" applyBorder="1" applyAlignment="1" applyProtection="1">
      <alignment horizontal="left"/>
      <protection locked="0"/>
    </xf>
    <xf numFmtId="0" fontId="2" fillId="2" borderId="12" xfId="0" applyFont="1" applyFill="1" applyBorder="1" applyAlignment="1" applyProtection="1">
      <alignment horizontal="left"/>
      <protection locked="0"/>
    </xf>
    <xf numFmtId="14" fontId="2" fillId="0" borderId="0" xfId="0" applyNumberFormat="1" applyFont="1"/>
    <xf numFmtId="14" fontId="9" fillId="0" borderId="0" xfId="0" applyNumberFormat="1" applyFont="1"/>
    <xf numFmtId="0" fontId="11" fillId="0" borderId="0" xfId="0" applyFont="1" applyAlignment="1">
      <alignment horizontal="right"/>
    </xf>
    <xf numFmtId="14" fontId="23" fillId="0" borderId="0" xfId="0" applyNumberFormat="1" applyFont="1"/>
    <xf numFmtId="0" fontId="24" fillId="0" borderId="0" xfId="0" applyFont="1" applyAlignment="1">
      <alignment horizontal="right"/>
    </xf>
    <xf numFmtId="14" fontId="24" fillId="0" borderId="0" xfId="0" applyNumberFormat="1" applyFont="1"/>
    <xf numFmtId="0" fontId="24" fillId="0" borderId="0" xfId="0" applyFont="1"/>
    <xf numFmtId="14" fontId="25" fillId="0" borderId="0" xfId="0" applyNumberFormat="1" applyFont="1"/>
    <xf numFmtId="0" fontId="26" fillId="0" borderId="0" xfId="0" applyFont="1"/>
    <xf numFmtId="14" fontId="26" fillId="0" borderId="0" xfId="0" applyNumberFormat="1" applyFont="1" applyAlignment="1">
      <alignment horizontal="right"/>
    </xf>
    <xf numFmtId="1" fontId="26" fillId="0" borderId="0" xfId="0" quotePrefix="1" applyNumberFormat="1" applyFont="1" applyAlignment="1">
      <alignment horizontal="left"/>
    </xf>
    <xf numFmtId="1" fontId="26" fillId="0" borderId="0" xfId="0" applyNumberFormat="1" applyFont="1" applyAlignment="1">
      <alignment horizontal="left"/>
    </xf>
    <xf numFmtId="0" fontId="10" fillId="0" borderId="2" xfId="1" applyBorder="1" applyAlignment="1" applyProtection="1">
      <protection locked="0"/>
    </xf>
    <xf numFmtId="14" fontId="1" fillId="0" borderId="0" xfId="0" applyNumberFormat="1" applyFont="1"/>
    <xf numFmtId="0" fontId="1" fillId="0" borderId="0" xfId="0" applyFont="1"/>
    <xf numFmtId="0" fontId="1" fillId="0" borderId="6" xfId="0" applyFont="1" applyBorder="1" applyProtection="1">
      <protection locked="0"/>
    </xf>
    <xf numFmtId="0" fontId="2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10" fillId="0" borderId="5" xfId="1" applyBorder="1" applyAlignment="1" applyProtection="1">
      <protection locked="0"/>
    </xf>
    <xf numFmtId="0" fontId="11" fillId="0" borderId="0" xfId="0" applyFont="1" applyAlignment="1">
      <alignment horizontal="left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0" borderId="2" xfId="0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8" xfId="0" applyBorder="1" applyAlignment="1" applyProtection="1">
      <alignment horizontal="left" vertical="top" wrapText="1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0" fontId="9" fillId="0" borderId="7" xfId="0" applyFont="1" applyBorder="1" applyAlignment="1" applyProtection="1">
      <alignment horizontal="left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0" fontId="6" fillId="0" borderId="0" xfId="0" applyFont="1" applyAlignment="1">
      <alignment horizontal="center"/>
    </xf>
    <xf numFmtId="0" fontId="9" fillId="0" borderId="1" xfId="0" applyFont="1" applyBorder="1" applyAlignment="1" applyProtection="1">
      <alignment horizontal="left"/>
      <protection locked="0"/>
    </xf>
    <xf numFmtId="0" fontId="9" fillId="0" borderId="2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4" xfId="0" quotePrefix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2" fontId="11" fillId="7" borderId="16" xfId="0" applyNumberFormat="1" applyFont="1" applyFill="1" applyBorder="1" applyAlignment="1">
      <alignment horizontal="center"/>
    </xf>
    <xf numFmtId="2" fontId="11" fillId="7" borderId="18" xfId="0" applyNumberFormat="1" applyFont="1" applyFill="1" applyBorder="1" applyAlignment="1">
      <alignment horizontal="center"/>
    </xf>
    <xf numFmtId="2" fontId="11" fillId="8" borderId="16" xfId="0" applyNumberFormat="1" applyFont="1" applyFill="1" applyBorder="1" applyAlignment="1">
      <alignment horizontal="center"/>
    </xf>
    <xf numFmtId="2" fontId="11" fillId="8" borderId="17" xfId="0" applyNumberFormat="1" applyFont="1" applyFill="1" applyBorder="1" applyAlignment="1">
      <alignment horizontal="center"/>
    </xf>
    <xf numFmtId="2" fontId="11" fillId="6" borderId="16" xfId="0" applyNumberFormat="1" applyFont="1" applyFill="1" applyBorder="1" applyAlignment="1">
      <alignment horizontal="center"/>
    </xf>
    <xf numFmtId="2" fontId="11" fillId="6" borderId="17" xfId="0" applyNumberFormat="1" applyFont="1" applyFill="1" applyBorder="1" applyAlignment="1">
      <alignment horizontal="center"/>
    </xf>
    <xf numFmtId="0" fontId="1" fillId="0" borderId="1" xfId="0" applyFont="1" applyBorder="1" applyAlignment="1" applyProtection="1">
      <alignment horizontal="left" vertical="top" wrapText="1"/>
      <protection locked="0"/>
    </xf>
  </cellXfs>
  <cellStyles count="2">
    <cellStyle name="Link" xfId="1" builtinId="8"/>
    <cellStyle name="Standard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Arbeit Soll-Ist</a:t>
            </a:r>
          </a:p>
        </c:rich>
      </c:tx>
      <c:layout>
        <c:manualLayout>
          <c:xMode val="edge"/>
          <c:yMode val="edge"/>
          <c:x val="0.45731899366237799"/>
          <c:y val="3.33333333333332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92764622079"/>
          <c:y val="0.125001017260883"/>
          <c:w val="0.71341782026108302"/>
          <c:h val="0.67500549320876602"/>
        </c:manualLayout>
      </c:layout>
      <c:scatterChart>
        <c:scatterStyle val="lineMarker"/>
        <c:varyColors val="0"/>
        <c:ser>
          <c:idx val="0"/>
          <c:order val="0"/>
          <c:tx>
            <c:v>Ziellinie</c:v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none"/>
          </c:marker>
          <c:xVal>
            <c:numRef>
              <c:f>Arbeitsanalyse!$F$6:$F$23</c:f>
              <c:numCache>
                <c:formatCode>0.0%</c:formatCode>
                <c:ptCount val="18"/>
                <c:pt idx="0">
                  <c:v>0</c:v>
                </c:pt>
                <c:pt idx="1">
                  <c:v>4.6511627906976744E-2</c:v>
                </c:pt>
                <c:pt idx="2">
                  <c:v>9.3023255813953487E-2</c:v>
                </c:pt>
                <c:pt idx="3">
                  <c:v>0.16279069767441862</c:v>
                </c:pt>
                <c:pt idx="4">
                  <c:v>0.23255813953488372</c:v>
                </c:pt>
                <c:pt idx="5">
                  <c:v>0.31627906976744186</c:v>
                </c:pt>
                <c:pt idx="6">
                  <c:v>0.4</c:v>
                </c:pt>
                <c:pt idx="7">
                  <c:v>0.48372093023255813</c:v>
                </c:pt>
                <c:pt idx="8">
                  <c:v>0.56744186046511624</c:v>
                </c:pt>
                <c:pt idx="9">
                  <c:v>0.65116279069767447</c:v>
                </c:pt>
                <c:pt idx="10">
                  <c:v>0.76744186046511631</c:v>
                </c:pt>
                <c:pt idx="11">
                  <c:v>0.88372093023255816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xVal>
          <c:yVal>
            <c:numRef>
              <c:f>Arbeitsanalyse!$F$6:$F$23</c:f>
              <c:numCache>
                <c:formatCode>0.0%</c:formatCode>
                <c:ptCount val="18"/>
                <c:pt idx="0">
                  <c:v>0</c:v>
                </c:pt>
                <c:pt idx="1">
                  <c:v>4.6511627906976744E-2</c:v>
                </c:pt>
                <c:pt idx="2">
                  <c:v>9.3023255813953487E-2</c:v>
                </c:pt>
                <c:pt idx="3">
                  <c:v>0.16279069767441862</c:v>
                </c:pt>
                <c:pt idx="4">
                  <c:v>0.23255813953488372</c:v>
                </c:pt>
                <c:pt idx="5">
                  <c:v>0.31627906976744186</c:v>
                </c:pt>
                <c:pt idx="6">
                  <c:v>0.4</c:v>
                </c:pt>
                <c:pt idx="7">
                  <c:v>0.48372093023255813</c:v>
                </c:pt>
                <c:pt idx="8">
                  <c:v>0.56744186046511624</c:v>
                </c:pt>
                <c:pt idx="9">
                  <c:v>0.65116279069767447</c:v>
                </c:pt>
                <c:pt idx="10">
                  <c:v>0.76744186046511631</c:v>
                </c:pt>
                <c:pt idx="11">
                  <c:v>0.88372093023255816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5-CE4A-870F-5B874271DF84}"/>
            </c:ext>
          </c:extLst>
        </c:ser>
        <c:ser>
          <c:idx val="1"/>
          <c:order val="1"/>
          <c:tx>
            <c:v>Arbeit: Soll vs Ist</c:v>
          </c:tx>
          <c:spPr>
            <a:ln w="25400">
              <a:solidFill>
                <a:srgbClr val="00009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xVal>
            <c:numRef>
              <c:f>Arbeitsanalyse!$F$6:$F$23</c:f>
              <c:numCache>
                <c:formatCode>0.0%</c:formatCode>
                <c:ptCount val="18"/>
                <c:pt idx="0">
                  <c:v>0</c:v>
                </c:pt>
                <c:pt idx="1">
                  <c:v>4.6511627906976744E-2</c:v>
                </c:pt>
                <c:pt idx="2">
                  <c:v>9.3023255813953487E-2</c:v>
                </c:pt>
                <c:pt idx="3">
                  <c:v>0.16279069767441862</c:v>
                </c:pt>
                <c:pt idx="4">
                  <c:v>0.23255813953488372</c:v>
                </c:pt>
                <c:pt idx="5">
                  <c:v>0.31627906976744186</c:v>
                </c:pt>
                <c:pt idx="6">
                  <c:v>0.4</c:v>
                </c:pt>
                <c:pt idx="7">
                  <c:v>0.48372093023255813</c:v>
                </c:pt>
                <c:pt idx="8">
                  <c:v>0.56744186046511624</c:v>
                </c:pt>
                <c:pt idx="9">
                  <c:v>0.65116279069767447</c:v>
                </c:pt>
                <c:pt idx="10">
                  <c:v>0.76744186046511631</c:v>
                </c:pt>
                <c:pt idx="11">
                  <c:v>0.88372093023255816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xVal>
          <c:yVal>
            <c:numRef>
              <c:f>Arbeitsanalyse!$I$6:$I$23</c:f>
              <c:numCache>
                <c:formatCode>0.0%</c:formatCode>
                <c:ptCount val="18"/>
                <c:pt idx="0">
                  <c:v>0</c:v>
                </c:pt>
                <c:pt idx="1">
                  <c:v>2.3255813953488372E-2</c:v>
                </c:pt>
                <c:pt idx="2">
                  <c:v>6.9767441860465115E-2</c:v>
                </c:pt>
                <c:pt idx="3">
                  <c:v>0.11627906976744186</c:v>
                </c:pt>
                <c:pt idx="4">
                  <c:v>0.19767441860465115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55-CE4A-870F-5B874271D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994568"/>
        <c:axId val="504004136"/>
      </c:scatterChart>
      <c:valAx>
        <c:axId val="503994568"/>
        <c:scaling>
          <c:orientation val="minMax"/>
          <c:max val="1.2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Arbeit (Soll)</a:t>
                </a:r>
              </a:p>
            </c:rich>
          </c:tx>
          <c:layout>
            <c:manualLayout>
              <c:xMode val="edge"/>
              <c:yMode val="edge"/>
              <c:x val="0.475611676589207"/>
              <c:y val="0.883340551181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4004136"/>
        <c:crossesAt val="0"/>
        <c:crossBetween val="midCat"/>
        <c:majorUnit val="0.2"/>
        <c:minorUnit val="0.1"/>
      </c:valAx>
      <c:valAx>
        <c:axId val="504004136"/>
        <c:scaling>
          <c:orientation val="minMax"/>
          <c:max val="1.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Arbeit (Ist)</a:t>
                </a:r>
              </a:p>
            </c:rich>
          </c:tx>
          <c:layout>
            <c:manualLayout>
              <c:xMode val="edge"/>
              <c:yMode val="edge"/>
              <c:x val="2.4390243902439001E-2"/>
              <c:y val="0.38333661417322801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3994568"/>
        <c:crossesAt val="0"/>
        <c:crossBetween val="midCat"/>
        <c:majorUnit val="0.2"/>
        <c:minorUnit val="0.1"/>
      </c:valAx>
      <c:spPr>
        <a:solidFill>
          <a:srgbClr val="CCCC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/>
    <c:pageMargins b="1" l="0.75" r="0.75" t="1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Arbeit vs. Fortschritt (Ist)</a:t>
            </a:r>
          </a:p>
        </c:rich>
      </c:tx>
      <c:layout>
        <c:manualLayout>
          <c:xMode val="edge"/>
          <c:yMode val="edge"/>
          <c:x val="0.35975753792970999"/>
          <c:y val="3.17460317460317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73246980607101"/>
          <c:y val="0.15079394297561499"/>
          <c:w val="0.75610093771260001"/>
          <c:h val="0.64285838847498999"/>
        </c:manualLayout>
      </c:layout>
      <c:scatterChart>
        <c:scatterStyle val="lineMarker"/>
        <c:varyColors val="0"/>
        <c:ser>
          <c:idx val="0"/>
          <c:order val="0"/>
          <c:tx>
            <c:v>Ziellinie</c:v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none"/>
          </c:marker>
          <c:xVal>
            <c:numRef>
              <c:f>Arbeitsanalyse!$F$6:$F$23</c:f>
              <c:numCache>
                <c:formatCode>0.0%</c:formatCode>
                <c:ptCount val="18"/>
                <c:pt idx="0">
                  <c:v>0</c:v>
                </c:pt>
                <c:pt idx="1">
                  <c:v>4.6511627906976744E-2</c:v>
                </c:pt>
                <c:pt idx="2">
                  <c:v>9.3023255813953487E-2</c:v>
                </c:pt>
                <c:pt idx="3">
                  <c:v>0.16279069767441862</c:v>
                </c:pt>
                <c:pt idx="4">
                  <c:v>0.23255813953488372</c:v>
                </c:pt>
                <c:pt idx="5">
                  <c:v>0.31627906976744186</c:v>
                </c:pt>
                <c:pt idx="6">
                  <c:v>0.4</c:v>
                </c:pt>
                <c:pt idx="7">
                  <c:v>0.48372093023255813</c:v>
                </c:pt>
                <c:pt idx="8">
                  <c:v>0.56744186046511624</c:v>
                </c:pt>
                <c:pt idx="9">
                  <c:v>0.65116279069767447</c:v>
                </c:pt>
                <c:pt idx="10">
                  <c:v>0.76744186046511631</c:v>
                </c:pt>
                <c:pt idx="11">
                  <c:v>0.88372093023255816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xVal>
          <c:yVal>
            <c:numRef>
              <c:f>Arbeitsanalyse!$F$6:$F$23</c:f>
              <c:numCache>
                <c:formatCode>0.0%</c:formatCode>
                <c:ptCount val="18"/>
                <c:pt idx="0">
                  <c:v>0</c:v>
                </c:pt>
                <c:pt idx="1">
                  <c:v>4.6511627906976744E-2</c:v>
                </c:pt>
                <c:pt idx="2">
                  <c:v>9.3023255813953487E-2</c:v>
                </c:pt>
                <c:pt idx="3">
                  <c:v>0.16279069767441862</c:v>
                </c:pt>
                <c:pt idx="4">
                  <c:v>0.23255813953488372</c:v>
                </c:pt>
                <c:pt idx="5">
                  <c:v>0.31627906976744186</c:v>
                </c:pt>
                <c:pt idx="6">
                  <c:v>0.4</c:v>
                </c:pt>
                <c:pt idx="7">
                  <c:v>0.48372093023255813</c:v>
                </c:pt>
                <c:pt idx="8">
                  <c:v>0.56744186046511624</c:v>
                </c:pt>
                <c:pt idx="9">
                  <c:v>0.65116279069767447</c:v>
                </c:pt>
                <c:pt idx="10">
                  <c:v>0.76744186046511631</c:v>
                </c:pt>
                <c:pt idx="11">
                  <c:v>0.88372093023255816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7-EA43-8162-066B9C20FE0C}"/>
            </c:ext>
          </c:extLst>
        </c:ser>
        <c:ser>
          <c:idx val="1"/>
          <c:order val="1"/>
          <c:tx>
            <c:v>Arbeit vs. Fortschritt (Soll)</c:v>
          </c:tx>
          <c:spPr>
            <a:ln w="25400">
              <a:solidFill>
                <a:srgbClr val="00009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xVal>
            <c:numRef>
              <c:f>Arbeitsanalyse!$I$6:$I$23</c:f>
              <c:numCache>
                <c:formatCode>0.0%</c:formatCode>
                <c:ptCount val="18"/>
                <c:pt idx="0">
                  <c:v>0</c:v>
                </c:pt>
                <c:pt idx="1">
                  <c:v>2.3255813953488372E-2</c:v>
                </c:pt>
                <c:pt idx="2">
                  <c:v>6.9767441860465115E-2</c:v>
                </c:pt>
                <c:pt idx="3">
                  <c:v>0.11627906976744186</c:v>
                </c:pt>
                <c:pt idx="4">
                  <c:v>0.19767441860465115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Arbeitsanalyse!$K$6:$K$23</c:f>
              <c:numCache>
                <c:formatCode>0.0%</c:formatCode>
                <c:ptCount val="18"/>
                <c:pt idx="0">
                  <c:v>0</c:v>
                </c:pt>
                <c:pt idx="1">
                  <c:v>0.05</c:v>
                </c:pt>
                <c:pt idx="2">
                  <c:v>0.08</c:v>
                </c:pt>
                <c:pt idx="3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A7-EA43-8162-066B9C20F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048472"/>
        <c:axId val="504057736"/>
      </c:scatterChart>
      <c:valAx>
        <c:axId val="504048472"/>
        <c:scaling>
          <c:orientation val="minMax"/>
          <c:max val="1.2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Arbeit (Ist)</a:t>
                </a:r>
              </a:p>
            </c:rich>
          </c:tx>
          <c:layout>
            <c:manualLayout>
              <c:xMode val="edge"/>
              <c:yMode val="edge"/>
              <c:x val="0.49390483963894699"/>
              <c:y val="0.88095425571803498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4057736"/>
        <c:crossesAt val="0"/>
        <c:crossBetween val="midCat"/>
        <c:majorUnit val="0.2"/>
        <c:minorUnit val="0.1"/>
      </c:valAx>
      <c:valAx>
        <c:axId val="504057736"/>
        <c:scaling>
          <c:orientation val="minMax"/>
          <c:max val="1.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Fortschritt (Ist)</a:t>
                </a:r>
              </a:p>
            </c:rich>
          </c:tx>
          <c:layout>
            <c:manualLayout>
              <c:xMode val="edge"/>
              <c:yMode val="edge"/>
              <c:x val="1.7811334438458355E-2"/>
              <c:y val="0.36406919137278626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4048472"/>
        <c:crossesAt val="0"/>
        <c:crossBetween val="midCat"/>
        <c:majorUnit val="0.2"/>
        <c:minorUnit val="0.1"/>
      </c:valAx>
      <c:spPr>
        <a:solidFill>
          <a:srgbClr val="CCCC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/>
    <c:pageMargins b="1" l="0.75" r="0.75" t="1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Meilensteintrendanalyse</a:t>
            </a:r>
          </a:p>
        </c:rich>
      </c:tx>
      <c:layout>
        <c:manualLayout>
          <c:xMode val="edge"/>
          <c:yMode val="edge"/>
          <c:x val="0.35374230006963397"/>
          <c:y val="3.59999999999999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4649858850699"/>
          <c:y val="0.148000505861104"/>
          <c:w val="0.83673643096390504"/>
          <c:h val="0.70000239258630303"/>
        </c:manualLayout>
      </c:layout>
      <c:scatterChart>
        <c:scatterStyle val="lineMarker"/>
        <c:varyColors val="0"/>
        <c:ser>
          <c:idx val="0"/>
          <c:order val="0"/>
          <c:tx>
            <c:strRef>
              <c:f>MTA!$B$4</c:f>
              <c:strCache>
                <c:ptCount val="1"/>
              </c:strCache>
            </c:strRef>
          </c:tx>
          <c:spPr>
            <a:ln w="25400">
              <a:solidFill>
                <a:srgbClr val="808080"/>
              </a:solidFill>
              <a:prstDash val="solid"/>
            </a:ln>
          </c:spPr>
          <c:marker>
            <c:symbol val="none"/>
          </c:marker>
          <c:xVal>
            <c:numRef>
              <c:f>MTA!$A$5:$A$22</c:f>
              <c:numCache>
                <c:formatCode>m/d/yyyy</c:formatCode>
                <c:ptCount val="18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</c:numCache>
            </c:numRef>
          </c:xVal>
          <c:yVal>
            <c:numRef>
              <c:f>MTA!$B$5:$B$22</c:f>
              <c:numCache>
                <c:formatCode>m/d/yyyy</c:formatCode>
                <c:ptCount val="18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4-6B44-851C-10B127E583D9}"/>
            </c:ext>
          </c:extLst>
        </c:ser>
        <c:ser>
          <c:idx val="2"/>
          <c:order val="1"/>
          <c:tx>
            <c:strRef>
              <c:f>MTA!$C$4</c:f>
              <c:strCache>
                <c:ptCount val="1"/>
                <c:pt idx="0">
                  <c:v>Anforderungsanalyse</c:v>
                </c:pt>
              </c:strCache>
            </c:strRef>
          </c:tx>
          <c:spPr>
            <a:ln w="25400">
              <a:solidFill>
                <a:srgbClr val="DD080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DD0806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MTA!$A$5:$A$30</c:f>
              <c:numCache>
                <c:formatCode>m/d/yyyy</c:formatCode>
                <c:ptCount val="26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MTA!$C$5:$C$30</c:f>
              <c:numCache>
                <c:formatCode>m/d/yyyy</c:formatCode>
                <c:ptCount val="26"/>
                <c:pt idx="0">
                  <c:v>46327</c:v>
                </c:pt>
                <c:pt idx="1">
                  <c:v>46327</c:v>
                </c:pt>
                <c:pt idx="2">
                  <c:v>46327</c:v>
                </c:pt>
                <c:pt idx="3">
                  <c:v>46319</c:v>
                </c:pt>
                <c:pt idx="20">
                  <c:v>46319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54-6B44-851C-10B127E583D9}"/>
            </c:ext>
          </c:extLst>
        </c:ser>
        <c:ser>
          <c:idx val="3"/>
          <c:order val="2"/>
          <c:tx>
            <c:strRef>
              <c:f>MTA!$D$4</c:f>
              <c:strCache>
                <c:ptCount val="1"/>
                <c:pt idx="0">
                  <c:v>Systemarchitektur freigeben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F99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MTA!$A$5:$A$30</c:f>
              <c:numCache>
                <c:formatCode>m/d/yyyy</c:formatCode>
                <c:ptCount val="26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MTA!$D$5:$D$30</c:f>
              <c:numCache>
                <c:formatCode>m/d/yyyy</c:formatCode>
                <c:ptCount val="26"/>
                <c:pt idx="0">
                  <c:v>46334</c:v>
                </c:pt>
                <c:pt idx="1">
                  <c:v>46334</c:v>
                </c:pt>
                <c:pt idx="2">
                  <c:v>46334</c:v>
                </c:pt>
                <c:pt idx="3">
                  <c:v>46334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54-6B44-851C-10B127E583D9}"/>
            </c:ext>
          </c:extLst>
        </c:ser>
        <c:ser>
          <c:idx val="4"/>
          <c:order val="3"/>
          <c:tx>
            <c:strRef>
              <c:f>MTA!$E$4</c:f>
              <c:strCache>
                <c:ptCount val="1"/>
                <c:pt idx="0">
                  <c:v>Abschluss Systementwurf</c:v>
                </c:pt>
              </c:strCache>
            </c:strRef>
          </c:tx>
          <c:spPr>
            <a:ln w="25400">
              <a:solidFill>
                <a:srgbClr val="FCF305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CF305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MTA!$A$5:$A$30</c:f>
              <c:numCache>
                <c:formatCode>m/d/yyyy</c:formatCode>
                <c:ptCount val="26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MTA!$E$5:$E$30</c:f>
              <c:numCache>
                <c:formatCode>m/d/yyyy</c:formatCode>
                <c:ptCount val="26"/>
                <c:pt idx="0">
                  <c:v>46341</c:v>
                </c:pt>
                <c:pt idx="1">
                  <c:v>46341</c:v>
                </c:pt>
                <c:pt idx="2">
                  <c:v>46341</c:v>
                </c:pt>
                <c:pt idx="3">
                  <c:v>46341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54-6B44-851C-10B127E583D9}"/>
            </c:ext>
          </c:extLst>
        </c:ser>
        <c:ser>
          <c:idx val="5"/>
          <c:order val="4"/>
          <c:tx>
            <c:strRef>
              <c:f>MTA!$F$4</c:f>
              <c:strCache>
                <c:ptCount val="1"/>
                <c:pt idx="0">
                  <c:v>Abschluss Software-Architektur</c:v>
                </c:pt>
              </c:strCache>
            </c:strRef>
          </c:tx>
          <c:spPr>
            <a:ln w="25400">
              <a:solidFill>
                <a:srgbClr val="1FB714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1FB714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MTA!$A$5:$A$30</c:f>
              <c:numCache>
                <c:formatCode>m/d/yyyy</c:formatCode>
                <c:ptCount val="26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MTA!$F$5:$F$30</c:f>
              <c:numCache>
                <c:formatCode>m/d/yyyy</c:formatCode>
                <c:ptCount val="26"/>
                <c:pt idx="0">
                  <c:v>46348</c:v>
                </c:pt>
                <c:pt idx="1">
                  <c:v>46348</c:v>
                </c:pt>
                <c:pt idx="2">
                  <c:v>46348</c:v>
                </c:pt>
                <c:pt idx="3">
                  <c:v>46348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54-6B44-851C-10B127E583D9}"/>
            </c:ext>
          </c:extLst>
        </c:ser>
        <c:ser>
          <c:idx val="6"/>
          <c:order val="5"/>
          <c:tx>
            <c:strRef>
              <c:f>MTA!$G$4</c:f>
              <c:strCache>
                <c:ptCount val="1"/>
                <c:pt idx="0">
                  <c:v>Abschluss Implementierung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33CCCC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MTA!$A$5:$A$30</c:f>
              <c:numCache>
                <c:formatCode>m/d/yyyy</c:formatCode>
                <c:ptCount val="26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MTA!$G$5:$G$30</c:f>
              <c:numCache>
                <c:formatCode>m/d/yyyy</c:formatCode>
                <c:ptCount val="26"/>
                <c:pt idx="0">
                  <c:v>46355</c:v>
                </c:pt>
                <c:pt idx="1">
                  <c:v>46355</c:v>
                </c:pt>
                <c:pt idx="2">
                  <c:v>46355</c:v>
                </c:pt>
                <c:pt idx="3">
                  <c:v>46355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54-6B44-851C-10B127E583D9}"/>
            </c:ext>
          </c:extLst>
        </c:ser>
        <c:ser>
          <c:idx val="1"/>
          <c:order val="6"/>
          <c:tx>
            <c:strRef>
              <c:f>MTA!$H$4</c:f>
              <c:strCache>
                <c:ptCount val="1"/>
                <c:pt idx="0">
                  <c:v>Integrations-/Systemtests</c:v>
                </c:pt>
              </c:strCache>
            </c:strRef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66CC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MTA!$A$5:$A$30</c:f>
              <c:numCache>
                <c:formatCode>m/d/yyyy</c:formatCode>
                <c:ptCount val="26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MTA!$H$5:$H$30</c:f>
              <c:numCache>
                <c:formatCode>m/d/yyyy</c:formatCode>
                <c:ptCount val="26"/>
                <c:pt idx="0">
                  <c:v>46362</c:v>
                </c:pt>
                <c:pt idx="1">
                  <c:v>46362</c:v>
                </c:pt>
                <c:pt idx="2">
                  <c:v>46362</c:v>
                </c:pt>
                <c:pt idx="3">
                  <c:v>46362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E54-6B44-851C-10B127E583D9}"/>
            </c:ext>
          </c:extLst>
        </c:ser>
        <c:ser>
          <c:idx val="7"/>
          <c:order val="7"/>
          <c:tx>
            <c:strRef>
              <c:f>MTA!$I$4</c:f>
              <c:strCache>
                <c:ptCount val="1"/>
                <c:pt idx="0">
                  <c:v>Abnahmetest</c:v>
                </c:pt>
              </c:strCache>
            </c:strRef>
          </c:tx>
          <c:spPr>
            <a:ln w="25400">
              <a:solidFill>
                <a:srgbClr val="4600A5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4600A5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MTA!$A$5:$A$31</c:f>
              <c:numCache>
                <c:formatCode>m/d/yyyy</c:formatCode>
                <c:ptCount val="27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MTA!$I$5:$I$31</c:f>
              <c:numCache>
                <c:formatCode>m/d/yyyy</c:formatCode>
                <c:ptCount val="27"/>
                <c:pt idx="0">
                  <c:v>46369</c:v>
                </c:pt>
                <c:pt idx="1">
                  <c:v>46369</c:v>
                </c:pt>
                <c:pt idx="2">
                  <c:v>46369</c:v>
                </c:pt>
                <c:pt idx="3">
                  <c:v>46369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E54-6B44-851C-10B127E58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144584"/>
        <c:axId val="504151000"/>
      </c:scatterChart>
      <c:valAx>
        <c:axId val="504144584"/>
        <c:scaling>
          <c:orientation val="minMax"/>
          <c:max val="46411"/>
          <c:min val="46292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m/d/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b="0" i="0" baseline="0"/>
            </a:pPr>
            <a:endParaRPr lang="de-DE"/>
          </a:p>
        </c:txPr>
        <c:crossAx val="504151000"/>
        <c:crossesAt val="38718"/>
        <c:crossBetween val="midCat"/>
        <c:majorUnit val="7"/>
        <c:minorUnit val="1"/>
      </c:valAx>
      <c:valAx>
        <c:axId val="504151000"/>
        <c:scaling>
          <c:orientation val="minMax"/>
          <c:max val="46411"/>
          <c:min val="46292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0" i="0" baseline="0"/>
            </a:pPr>
            <a:endParaRPr lang="de-DE"/>
          </a:p>
        </c:txPr>
        <c:crossAx val="504144584"/>
        <c:crossesAt val="38718"/>
        <c:crossBetween val="midCat"/>
        <c:majorUnit val="7"/>
        <c:minorUnit val="1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867801728401403"/>
          <c:y val="0.55200188976377895"/>
          <c:w val="0.45539870528815973"/>
          <c:h val="0.2867923299155950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b="0" i="0" baseline="0"/>
          </a:pPr>
          <a:endParaRPr lang="de-DE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6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/>
    <c:pageMargins b="1" l="0.75" r="0.75" t="1" header="0.4921259845" footer="0.4921259845"/>
    <c:pageSetup paperSize="9" orientation="landscape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Meilensteintrendanalyse</a:t>
            </a:r>
          </a:p>
        </c:rich>
      </c:tx>
      <c:layout>
        <c:manualLayout>
          <c:xMode val="edge"/>
          <c:yMode val="edge"/>
          <c:x val="0.36348149740668101"/>
          <c:y val="2.650602409638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802135940613"/>
          <c:y val="8.1927807238101502E-2"/>
          <c:w val="0.80375493593594705"/>
          <c:h val="0.76626596181518503"/>
        </c:manualLayout>
      </c:layout>
      <c:scatterChart>
        <c:scatterStyle val="lineMarker"/>
        <c:varyColors val="0"/>
        <c:ser>
          <c:idx val="0"/>
          <c:order val="0"/>
          <c:tx>
            <c:strRef>
              <c:f>MTA!$B$4</c:f>
              <c:strCache>
                <c:ptCount val="1"/>
              </c:strCache>
            </c:strRef>
          </c:tx>
          <c:spPr>
            <a:ln w="25400">
              <a:solidFill>
                <a:srgbClr val="808080"/>
              </a:solidFill>
              <a:prstDash val="solid"/>
            </a:ln>
          </c:spPr>
          <c:marker>
            <c:symbol val="none"/>
          </c:marker>
          <c:xVal>
            <c:numRef>
              <c:f>MTA!$A$5:$A$22</c:f>
              <c:numCache>
                <c:formatCode>m/d/yyyy</c:formatCode>
                <c:ptCount val="18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</c:numCache>
            </c:numRef>
          </c:xVal>
          <c:yVal>
            <c:numRef>
              <c:f>MTA!$B$5:$B$22</c:f>
              <c:numCache>
                <c:formatCode>m/d/yyyy</c:formatCode>
                <c:ptCount val="18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1-BA4F-B23E-50C481E9E65D}"/>
            </c:ext>
          </c:extLst>
        </c:ser>
        <c:ser>
          <c:idx val="2"/>
          <c:order val="1"/>
          <c:tx>
            <c:strRef>
              <c:f>MTA!$C$4</c:f>
              <c:strCache>
                <c:ptCount val="1"/>
                <c:pt idx="0">
                  <c:v>Anforderungsanalyse</c:v>
                </c:pt>
              </c:strCache>
            </c:strRef>
          </c:tx>
          <c:spPr>
            <a:ln w="25400">
              <a:solidFill>
                <a:srgbClr val="DD080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DD0806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MTA!$A$5:$A$30</c:f>
              <c:numCache>
                <c:formatCode>m/d/yyyy</c:formatCode>
                <c:ptCount val="26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MTA!$C$5:$C$30</c:f>
              <c:numCache>
                <c:formatCode>m/d/yyyy</c:formatCode>
                <c:ptCount val="26"/>
                <c:pt idx="0">
                  <c:v>46327</c:v>
                </c:pt>
                <c:pt idx="1">
                  <c:v>46327</c:v>
                </c:pt>
                <c:pt idx="2">
                  <c:v>46327</c:v>
                </c:pt>
                <c:pt idx="3">
                  <c:v>46319</c:v>
                </c:pt>
                <c:pt idx="20">
                  <c:v>46319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51-BA4F-B23E-50C481E9E65D}"/>
            </c:ext>
          </c:extLst>
        </c:ser>
        <c:ser>
          <c:idx val="3"/>
          <c:order val="2"/>
          <c:tx>
            <c:strRef>
              <c:f>MTA!$D$4</c:f>
              <c:strCache>
                <c:ptCount val="1"/>
                <c:pt idx="0">
                  <c:v>Systemarchitektur freigeben</c:v>
                </c:pt>
              </c:strCache>
            </c:strRef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F99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MTA!$A$5:$A$30</c:f>
              <c:numCache>
                <c:formatCode>m/d/yyyy</c:formatCode>
                <c:ptCount val="26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MTA!$D$5:$D$30</c:f>
              <c:numCache>
                <c:formatCode>m/d/yyyy</c:formatCode>
                <c:ptCount val="26"/>
                <c:pt idx="0">
                  <c:v>46334</c:v>
                </c:pt>
                <c:pt idx="1">
                  <c:v>46334</c:v>
                </c:pt>
                <c:pt idx="2">
                  <c:v>46334</c:v>
                </c:pt>
                <c:pt idx="3">
                  <c:v>46334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51-BA4F-B23E-50C481E9E65D}"/>
            </c:ext>
          </c:extLst>
        </c:ser>
        <c:ser>
          <c:idx val="4"/>
          <c:order val="3"/>
          <c:tx>
            <c:strRef>
              <c:f>MTA!$E$4</c:f>
              <c:strCache>
                <c:ptCount val="1"/>
                <c:pt idx="0">
                  <c:v>Abschluss Systementwurf</c:v>
                </c:pt>
              </c:strCache>
            </c:strRef>
          </c:tx>
          <c:spPr>
            <a:ln w="25400">
              <a:solidFill>
                <a:srgbClr val="FCF305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CF305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MTA!$A$5:$A$30</c:f>
              <c:numCache>
                <c:formatCode>m/d/yyyy</c:formatCode>
                <c:ptCount val="26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MTA!$E$5:$E$30</c:f>
              <c:numCache>
                <c:formatCode>m/d/yyyy</c:formatCode>
                <c:ptCount val="26"/>
                <c:pt idx="0">
                  <c:v>46341</c:v>
                </c:pt>
                <c:pt idx="1">
                  <c:v>46341</c:v>
                </c:pt>
                <c:pt idx="2">
                  <c:v>46341</c:v>
                </c:pt>
                <c:pt idx="3">
                  <c:v>46341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51-BA4F-B23E-50C481E9E65D}"/>
            </c:ext>
          </c:extLst>
        </c:ser>
        <c:ser>
          <c:idx val="5"/>
          <c:order val="4"/>
          <c:tx>
            <c:strRef>
              <c:f>MTA!$F$4</c:f>
              <c:strCache>
                <c:ptCount val="1"/>
                <c:pt idx="0">
                  <c:v>Abschluss Software-Architektur</c:v>
                </c:pt>
              </c:strCache>
            </c:strRef>
          </c:tx>
          <c:spPr>
            <a:ln w="25400">
              <a:solidFill>
                <a:srgbClr val="1FB714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1FB714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MTA!$A$5:$A$30</c:f>
              <c:numCache>
                <c:formatCode>m/d/yyyy</c:formatCode>
                <c:ptCount val="26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MTA!$F$5:$F$30</c:f>
              <c:numCache>
                <c:formatCode>m/d/yyyy</c:formatCode>
                <c:ptCount val="26"/>
                <c:pt idx="0">
                  <c:v>46348</c:v>
                </c:pt>
                <c:pt idx="1">
                  <c:v>46348</c:v>
                </c:pt>
                <c:pt idx="2">
                  <c:v>46348</c:v>
                </c:pt>
                <c:pt idx="3">
                  <c:v>46348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51-BA4F-B23E-50C481E9E65D}"/>
            </c:ext>
          </c:extLst>
        </c:ser>
        <c:ser>
          <c:idx val="6"/>
          <c:order val="5"/>
          <c:tx>
            <c:strRef>
              <c:f>MTA!$G$4</c:f>
              <c:strCache>
                <c:ptCount val="1"/>
                <c:pt idx="0">
                  <c:v>Abschluss Implementierung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33CCCC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MTA!$A$5:$A$30</c:f>
              <c:numCache>
                <c:formatCode>m/d/yyyy</c:formatCode>
                <c:ptCount val="26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MTA!$G$5:$G$30</c:f>
              <c:numCache>
                <c:formatCode>m/d/yyyy</c:formatCode>
                <c:ptCount val="26"/>
                <c:pt idx="0">
                  <c:v>46355</c:v>
                </c:pt>
                <c:pt idx="1">
                  <c:v>46355</c:v>
                </c:pt>
                <c:pt idx="2">
                  <c:v>46355</c:v>
                </c:pt>
                <c:pt idx="3">
                  <c:v>46355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51-BA4F-B23E-50C481E9E65D}"/>
            </c:ext>
          </c:extLst>
        </c:ser>
        <c:ser>
          <c:idx val="1"/>
          <c:order val="6"/>
          <c:tx>
            <c:strRef>
              <c:f>MTA!$H$4</c:f>
              <c:strCache>
                <c:ptCount val="1"/>
                <c:pt idx="0">
                  <c:v>Integrations-/Systemtests</c:v>
                </c:pt>
              </c:strCache>
            </c:strRef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66CC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MTA!$A$5:$A$30</c:f>
              <c:numCache>
                <c:formatCode>m/d/yyyy</c:formatCode>
                <c:ptCount val="26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MTA!$H$5:$H$30</c:f>
              <c:numCache>
                <c:formatCode>m/d/yyyy</c:formatCode>
                <c:ptCount val="26"/>
                <c:pt idx="0">
                  <c:v>46362</c:v>
                </c:pt>
                <c:pt idx="1">
                  <c:v>46362</c:v>
                </c:pt>
                <c:pt idx="2">
                  <c:v>46362</c:v>
                </c:pt>
                <c:pt idx="3">
                  <c:v>46362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F51-BA4F-B23E-50C481E9E65D}"/>
            </c:ext>
          </c:extLst>
        </c:ser>
        <c:ser>
          <c:idx val="7"/>
          <c:order val="7"/>
          <c:tx>
            <c:strRef>
              <c:f>MTA!$I$4</c:f>
              <c:strCache>
                <c:ptCount val="1"/>
                <c:pt idx="0">
                  <c:v>Abnahmetest</c:v>
                </c:pt>
              </c:strCache>
            </c:strRef>
          </c:tx>
          <c:spPr>
            <a:ln w="25400">
              <a:solidFill>
                <a:srgbClr val="4600A5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4600A5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MTA!$A$5:$A$31</c:f>
              <c:numCache>
                <c:formatCode>m/d/yyyy</c:formatCode>
                <c:ptCount val="27"/>
                <c:pt idx="0">
                  <c:v>46292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  <c:pt idx="20">
                  <c:v>46319</c:v>
                </c:pt>
              </c:numCache>
            </c:numRef>
          </c:xVal>
          <c:yVal>
            <c:numRef>
              <c:f>MTA!$I$5:$I$31</c:f>
              <c:numCache>
                <c:formatCode>m/d/yyyy</c:formatCode>
                <c:ptCount val="27"/>
                <c:pt idx="0">
                  <c:v>46369</c:v>
                </c:pt>
                <c:pt idx="1">
                  <c:v>46369</c:v>
                </c:pt>
                <c:pt idx="2">
                  <c:v>46369</c:v>
                </c:pt>
                <c:pt idx="3">
                  <c:v>46369</c:v>
                </c:pt>
                <c:pt idx="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F51-BA4F-B23E-50C481E9E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48024"/>
        <c:axId val="504257128"/>
      </c:scatterChart>
      <c:valAx>
        <c:axId val="504248024"/>
        <c:scaling>
          <c:orientation val="minMax"/>
          <c:max val="46411"/>
          <c:min val="46292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Berichtszeitpunkte</a:t>
                </a:r>
              </a:p>
            </c:rich>
          </c:tx>
          <c:layout>
            <c:manualLayout>
              <c:xMode val="edge"/>
              <c:yMode val="edge"/>
              <c:x val="0.4368100908228757"/>
              <c:y val="0.92627036356278525"/>
            </c:manualLayout>
          </c:layout>
          <c:overlay val="0"/>
          <c:spPr>
            <a:noFill/>
            <a:ln w="25400">
              <a:noFill/>
            </a:ln>
          </c:spPr>
        </c:title>
        <c:numFmt formatCode="d\/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4257128"/>
        <c:crossesAt val="38718"/>
        <c:crossBetween val="midCat"/>
        <c:majorUnit val="7"/>
        <c:minorUnit val="1"/>
      </c:valAx>
      <c:valAx>
        <c:axId val="504257128"/>
        <c:scaling>
          <c:orientation val="minMax"/>
          <c:max val="46411"/>
          <c:min val="46292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Meilensteinprognosen</a:t>
                </a:r>
              </a:p>
            </c:rich>
          </c:tx>
          <c:layout>
            <c:manualLayout>
              <c:xMode val="edge"/>
              <c:yMode val="edge"/>
              <c:x val="6.8452986633569003E-3"/>
              <c:y val="0.3342140966623103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4248024"/>
        <c:crossesAt val="38718"/>
        <c:crossBetween val="midCat"/>
        <c:majorUnit val="7"/>
        <c:minorUnit val="1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4948845771411703"/>
          <c:y val="0.54698852101318696"/>
          <c:w val="0.34129719706538397"/>
          <c:h val="0.2819280903140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span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/>
    <c:pageMargins b="1" l="0.75" r="0.75" t="1" header="0.4921259845" footer="0.4921259845"/>
    <c:pageSetup paperSize="9" orientation="landscape" verticalDpi="12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Arbeit Soll-Ist</a:t>
            </a:r>
          </a:p>
        </c:rich>
      </c:tx>
      <c:layout>
        <c:manualLayout>
          <c:xMode val="edge"/>
          <c:yMode val="edge"/>
          <c:x val="0.46438768871839697"/>
          <c:y val="4.92424242424241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9487304330891"/>
          <c:y val="0.151515081456465"/>
          <c:w val="0.74928827046070301"/>
          <c:h val="0.67802998951767901"/>
        </c:manualLayout>
      </c:layout>
      <c:scatterChart>
        <c:scatterStyle val="lineMarker"/>
        <c:varyColors val="0"/>
        <c:ser>
          <c:idx val="0"/>
          <c:order val="0"/>
          <c:tx>
            <c:v>Ziellinie</c:v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none"/>
          </c:marker>
          <c:xVal>
            <c:numRef>
              <c:f>Arbeitsanalyse!$F$6:$F$23</c:f>
              <c:numCache>
                <c:formatCode>0.0%</c:formatCode>
                <c:ptCount val="18"/>
                <c:pt idx="0">
                  <c:v>0</c:v>
                </c:pt>
                <c:pt idx="1">
                  <c:v>4.6511627906976744E-2</c:v>
                </c:pt>
                <c:pt idx="2">
                  <c:v>9.3023255813953487E-2</c:v>
                </c:pt>
                <c:pt idx="3">
                  <c:v>0.16279069767441862</c:v>
                </c:pt>
                <c:pt idx="4">
                  <c:v>0.23255813953488372</c:v>
                </c:pt>
                <c:pt idx="5">
                  <c:v>0.31627906976744186</c:v>
                </c:pt>
                <c:pt idx="6">
                  <c:v>0.4</c:v>
                </c:pt>
                <c:pt idx="7">
                  <c:v>0.48372093023255813</c:v>
                </c:pt>
                <c:pt idx="8">
                  <c:v>0.56744186046511624</c:v>
                </c:pt>
                <c:pt idx="9">
                  <c:v>0.65116279069767447</c:v>
                </c:pt>
                <c:pt idx="10">
                  <c:v>0.76744186046511631</c:v>
                </c:pt>
                <c:pt idx="11">
                  <c:v>0.88372093023255816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xVal>
          <c:yVal>
            <c:numRef>
              <c:f>Arbeitsanalyse!$F$6:$F$23</c:f>
              <c:numCache>
                <c:formatCode>0.0%</c:formatCode>
                <c:ptCount val="18"/>
                <c:pt idx="0">
                  <c:v>0</c:v>
                </c:pt>
                <c:pt idx="1">
                  <c:v>4.6511627906976744E-2</c:v>
                </c:pt>
                <c:pt idx="2">
                  <c:v>9.3023255813953487E-2</c:v>
                </c:pt>
                <c:pt idx="3">
                  <c:v>0.16279069767441862</c:v>
                </c:pt>
                <c:pt idx="4">
                  <c:v>0.23255813953488372</c:v>
                </c:pt>
                <c:pt idx="5">
                  <c:v>0.31627906976744186</c:v>
                </c:pt>
                <c:pt idx="6">
                  <c:v>0.4</c:v>
                </c:pt>
                <c:pt idx="7">
                  <c:v>0.48372093023255813</c:v>
                </c:pt>
                <c:pt idx="8">
                  <c:v>0.56744186046511624</c:v>
                </c:pt>
                <c:pt idx="9">
                  <c:v>0.65116279069767447</c:v>
                </c:pt>
                <c:pt idx="10">
                  <c:v>0.76744186046511631</c:v>
                </c:pt>
                <c:pt idx="11">
                  <c:v>0.88372093023255816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8-1945-866A-A2E55B773A55}"/>
            </c:ext>
          </c:extLst>
        </c:ser>
        <c:ser>
          <c:idx val="1"/>
          <c:order val="1"/>
          <c:tx>
            <c:v>Arbeit: Soll vs Ist</c:v>
          </c:tx>
          <c:spPr>
            <a:ln w="254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xVal>
            <c:numRef>
              <c:f>Arbeitsanalyse!$F$6:$F$23</c:f>
              <c:numCache>
                <c:formatCode>0.0%</c:formatCode>
                <c:ptCount val="18"/>
                <c:pt idx="0">
                  <c:v>0</c:v>
                </c:pt>
                <c:pt idx="1">
                  <c:v>4.6511627906976744E-2</c:v>
                </c:pt>
                <c:pt idx="2">
                  <c:v>9.3023255813953487E-2</c:v>
                </c:pt>
                <c:pt idx="3">
                  <c:v>0.16279069767441862</c:v>
                </c:pt>
                <c:pt idx="4">
                  <c:v>0.23255813953488372</c:v>
                </c:pt>
                <c:pt idx="5">
                  <c:v>0.31627906976744186</c:v>
                </c:pt>
                <c:pt idx="6">
                  <c:v>0.4</c:v>
                </c:pt>
                <c:pt idx="7">
                  <c:v>0.48372093023255813</c:v>
                </c:pt>
                <c:pt idx="8">
                  <c:v>0.56744186046511624</c:v>
                </c:pt>
                <c:pt idx="9">
                  <c:v>0.65116279069767447</c:v>
                </c:pt>
                <c:pt idx="10">
                  <c:v>0.76744186046511631</c:v>
                </c:pt>
                <c:pt idx="11">
                  <c:v>0.88372093023255816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xVal>
          <c:yVal>
            <c:numRef>
              <c:f>Arbeitsanalyse!$I$6:$I$23</c:f>
              <c:numCache>
                <c:formatCode>0.0%</c:formatCode>
                <c:ptCount val="18"/>
                <c:pt idx="0">
                  <c:v>0</c:v>
                </c:pt>
                <c:pt idx="1">
                  <c:v>2.3255813953488372E-2</c:v>
                </c:pt>
                <c:pt idx="2">
                  <c:v>6.9767441860465115E-2</c:v>
                </c:pt>
                <c:pt idx="3">
                  <c:v>0.11627906976744186</c:v>
                </c:pt>
                <c:pt idx="4">
                  <c:v>0.19767441860465115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28-1945-866A-A2E55B773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303896"/>
        <c:axId val="504315752"/>
      </c:scatterChart>
      <c:valAx>
        <c:axId val="504303896"/>
        <c:scaling>
          <c:orientation val="minMax"/>
          <c:max val="1.2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Arbeit (Soll)</a:t>
                </a:r>
              </a:p>
            </c:rich>
          </c:tx>
          <c:layout>
            <c:manualLayout>
              <c:xMode val="edge"/>
              <c:yMode val="edge"/>
              <c:x val="0.48433093299235003"/>
              <c:y val="0.89772697446909999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4315752"/>
        <c:crossesAt val="0"/>
        <c:crossBetween val="midCat"/>
        <c:majorUnit val="0.2"/>
        <c:minorUnit val="0.1"/>
      </c:valAx>
      <c:valAx>
        <c:axId val="504315752"/>
        <c:scaling>
          <c:orientation val="minMax"/>
          <c:max val="1.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Arbeit (Ist)</a:t>
                </a:r>
              </a:p>
            </c:rich>
          </c:tx>
          <c:layout>
            <c:manualLayout>
              <c:xMode val="edge"/>
              <c:yMode val="edge"/>
              <c:x val="3.9886039886039899E-2"/>
              <c:y val="0.40530273204485801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4303896"/>
        <c:crossesAt val="0"/>
        <c:crossBetween val="midCat"/>
        <c:majorUnit val="0.2"/>
        <c:minorUnit val="0.1"/>
      </c:valAx>
      <c:spPr>
        <a:solidFill>
          <a:srgbClr val="CCCC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/>
    <c:pageMargins b="1" l="0.75" r="0.75" t="1" header="0.4921259845" footer="0.4921259845"/>
    <c:pageSetup paperSize="9" orientation="landscape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Fortschritt Soll-Ist</a:t>
            </a:r>
          </a:p>
        </c:rich>
      </c:tx>
      <c:layout>
        <c:manualLayout>
          <c:xMode val="edge"/>
          <c:yMode val="edge"/>
          <c:x val="0.44767396081303801"/>
          <c:y val="6.43939393939394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313933991968201"/>
          <c:y val="0.151515081456465"/>
          <c:w val="0.723836438730172"/>
          <c:h val="0.67802998951767901"/>
        </c:manualLayout>
      </c:layout>
      <c:scatterChart>
        <c:scatterStyle val="lineMarker"/>
        <c:varyColors val="0"/>
        <c:ser>
          <c:idx val="0"/>
          <c:order val="0"/>
          <c:tx>
            <c:strRef>
              <c:f>Arbeitsanalyse!$J$4</c:f>
              <c:strCache>
                <c:ptCount val="1"/>
                <c:pt idx="0">
                  <c:v>Fortschritt (in%)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Arbeitsanalyse!$J$6:$J$18</c:f>
              <c:numCache>
                <c:formatCode>0.0%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0.08</c:v>
                </c:pt>
                <c:pt idx="3">
                  <c:v>0.1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</c:v>
                </c:pt>
              </c:numCache>
            </c:numRef>
          </c:xVal>
          <c:yVal>
            <c:numRef>
              <c:f>Arbeitsanalyse!$K$6:$K$18</c:f>
              <c:numCache>
                <c:formatCode>0.0%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0.08</c:v>
                </c:pt>
                <c:pt idx="3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12-4843-96DC-58EE188E1A6A}"/>
            </c:ext>
          </c:extLst>
        </c:ser>
        <c:ser>
          <c:idx val="1"/>
          <c:order val="1"/>
          <c:tx>
            <c:v>Ziellinie</c:v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none"/>
          </c:marker>
          <c:xVal>
            <c:numRef>
              <c:f>Arbeitsanalyse!$J$6:$J$23</c:f>
              <c:numCache>
                <c:formatCode>0.0%</c:formatCode>
                <c:ptCount val="18"/>
                <c:pt idx="0">
                  <c:v>0</c:v>
                </c:pt>
                <c:pt idx="1">
                  <c:v>0.05</c:v>
                </c:pt>
                <c:pt idx="2">
                  <c:v>0.08</c:v>
                </c:pt>
                <c:pt idx="3">
                  <c:v>0.1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</c:v>
                </c:pt>
              </c:numCache>
            </c:numRef>
          </c:xVal>
          <c:yVal>
            <c:numRef>
              <c:f>Arbeitsanalyse!$J$6:$J$23</c:f>
              <c:numCache>
                <c:formatCode>0.0%</c:formatCode>
                <c:ptCount val="18"/>
                <c:pt idx="0">
                  <c:v>0</c:v>
                </c:pt>
                <c:pt idx="1">
                  <c:v>0.05</c:v>
                </c:pt>
                <c:pt idx="2">
                  <c:v>0.08</c:v>
                </c:pt>
                <c:pt idx="3">
                  <c:v>0.1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12-4843-96DC-58EE188E1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347288"/>
        <c:axId val="505431992"/>
      </c:scatterChart>
      <c:valAx>
        <c:axId val="504347288"/>
        <c:scaling>
          <c:orientation val="minMax"/>
          <c:max val="1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Fortschritt (Soll)</a:t>
                </a:r>
              </a:p>
            </c:rich>
          </c:tx>
          <c:layout>
            <c:manualLayout>
              <c:xMode val="edge"/>
              <c:yMode val="edge"/>
              <c:x val="0.44767396081303801"/>
              <c:y val="0.89772697446909999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5431992"/>
        <c:crossesAt val="0"/>
        <c:crossBetween val="midCat"/>
        <c:majorUnit val="0.2"/>
        <c:minorUnit val="0.1"/>
      </c:valAx>
      <c:valAx>
        <c:axId val="505431992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Fortschritt (Ist)</a:t>
                </a:r>
              </a:p>
            </c:rich>
          </c:tx>
          <c:layout>
            <c:manualLayout>
              <c:xMode val="edge"/>
              <c:yMode val="edge"/>
              <c:x val="4.0697674418604599E-2"/>
              <c:y val="0.37499970174182801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4347288"/>
        <c:crosses val="autoZero"/>
        <c:crossBetween val="midCat"/>
        <c:majorUnit val="0.2"/>
        <c:minorUnit val="0.1"/>
      </c:valAx>
      <c:spPr>
        <a:solidFill>
          <a:srgbClr val="CCCC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/>
    <c:pageMargins b="1" l="0.75" r="0.75" t="1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904109589041098E-2"/>
          <c:y val="8.7136841188203806E-2"/>
          <c:w val="0.64212328767123295"/>
          <c:h val="0.6846466093358869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Arbeitsanalyse!$D$5</c:f>
              <c:strCache>
                <c:ptCount val="1"/>
                <c:pt idx="0">
                  <c:v>Arbeit Soll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Arbeitsanalyse!$A$6:$A$23</c:f>
              <c:numCache>
                <c:formatCode>m/d/yyyy</c:formatCode>
                <c:ptCount val="18"/>
                <c:pt idx="0">
                  <c:v>46293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</c:numCache>
            </c:numRef>
          </c:cat>
          <c:val>
            <c:numRef>
              <c:f>Arbeitsanalyse!$D$6:$D$23</c:f>
              <c:numCache>
                <c:formatCode>0.00</c:formatCode>
                <c:ptCount val="18"/>
                <c:pt idx="0">
                  <c:v>20.5</c:v>
                </c:pt>
                <c:pt idx="1">
                  <c:v>10</c:v>
                </c:pt>
                <c:pt idx="2">
                  <c:v>10</c:v>
                </c:pt>
                <c:pt idx="3">
                  <c:v>15</c:v>
                </c:pt>
                <c:pt idx="4">
                  <c:v>15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D-3340-9DC4-D9080C521951}"/>
            </c:ext>
          </c:extLst>
        </c:ser>
        <c:ser>
          <c:idx val="0"/>
          <c:order val="1"/>
          <c:tx>
            <c:strRef>
              <c:f>Arbeitsanalyse!$G$5</c:f>
              <c:strCache>
                <c:ptCount val="1"/>
                <c:pt idx="0">
                  <c:v>Arbeit Ist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Arbeitsanalyse!$A$6:$A$23</c:f>
              <c:numCache>
                <c:formatCode>m/d/yyyy</c:formatCode>
                <c:ptCount val="18"/>
                <c:pt idx="0">
                  <c:v>46293</c:v>
                </c:pt>
                <c:pt idx="1">
                  <c:v>46299</c:v>
                </c:pt>
                <c:pt idx="2">
                  <c:v>46306</c:v>
                </c:pt>
                <c:pt idx="3">
                  <c:v>46313</c:v>
                </c:pt>
                <c:pt idx="4">
                  <c:v>46320</c:v>
                </c:pt>
                <c:pt idx="5">
                  <c:v>46327</c:v>
                </c:pt>
                <c:pt idx="6">
                  <c:v>46334</c:v>
                </c:pt>
                <c:pt idx="7">
                  <c:v>46341</c:v>
                </c:pt>
                <c:pt idx="8">
                  <c:v>46348</c:v>
                </c:pt>
                <c:pt idx="9">
                  <c:v>46355</c:v>
                </c:pt>
                <c:pt idx="10">
                  <c:v>46362</c:v>
                </c:pt>
                <c:pt idx="11">
                  <c:v>46369</c:v>
                </c:pt>
                <c:pt idx="12">
                  <c:v>46376</c:v>
                </c:pt>
                <c:pt idx="13">
                  <c:v>46383</c:v>
                </c:pt>
                <c:pt idx="14">
                  <c:v>46390</c:v>
                </c:pt>
                <c:pt idx="15">
                  <c:v>46397</c:v>
                </c:pt>
                <c:pt idx="16">
                  <c:v>46404</c:v>
                </c:pt>
                <c:pt idx="17">
                  <c:v>46411</c:v>
                </c:pt>
              </c:numCache>
            </c:numRef>
          </c:cat>
          <c:val>
            <c:numRef>
              <c:f>Arbeitsanalyse!$G$6:$G$23</c:f>
              <c:numCache>
                <c:formatCode>0.00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10</c:v>
                </c:pt>
                <c:pt idx="4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D-3340-9DC4-D9080C521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523432"/>
        <c:axId val="505527336"/>
      </c:barChart>
      <c:lineChart>
        <c:grouping val="standard"/>
        <c:varyColors val="0"/>
        <c:ser>
          <c:idx val="2"/>
          <c:order val="2"/>
          <c:tx>
            <c:strRef>
              <c:f>Arbeitsanalyse!$E$5</c:f>
              <c:strCache>
                <c:ptCount val="1"/>
                <c:pt idx="0">
                  <c:v>Arbeit Soll kum.</c:v>
                </c:pt>
              </c:strCache>
            </c:strRef>
          </c:tx>
          <c:spPr>
            <a:ln w="381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Arbeitsanalyse!$E$6:$E$23</c:f>
              <c:numCache>
                <c:formatCode>0.00</c:formatCode>
                <c:ptCount val="1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35</c:v>
                </c:pt>
                <c:pt idx="4">
                  <c:v>50</c:v>
                </c:pt>
                <c:pt idx="5">
                  <c:v>68</c:v>
                </c:pt>
                <c:pt idx="6">
                  <c:v>86</c:v>
                </c:pt>
                <c:pt idx="7">
                  <c:v>104</c:v>
                </c:pt>
                <c:pt idx="8">
                  <c:v>122</c:v>
                </c:pt>
                <c:pt idx="9">
                  <c:v>140</c:v>
                </c:pt>
                <c:pt idx="10">
                  <c:v>165</c:v>
                </c:pt>
                <c:pt idx="11">
                  <c:v>190</c:v>
                </c:pt>
                <c:pt idx="12">
                  <c:v>215</c:v>
                </c:pt>
                <c:pt idx="13">
                  <c:v>215</c:v>
                </c:pt>
                <c:pt idx="14">
                  <c:v>215</c:v>
                </c:pt>
                <c:pt idx="15">
                  <c:v>215</c:v>
                </c:pt>
                <c:pt idx="16">
                  <c:v>215</c:v>
                </c:pt>
                <c:pt idx="17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BD-3340-9DC4-D9080C521951}"/>
            </c:ext>
          </c:extLst>
        </c:ser>
        <c:ser>
          <c:idx val="3"/>
          <c:order val="3"/>
          <c:tx>
            <c:strRef>
              <c:f>Arbeitsanalyse!$H$5</c:f>
              <c:strCache>
                <c:ptCount val="1"/>
                <c:pt idx="0">
                  <c:v>Arbeit Ist kum.</c:v>
                </c:pt>
              </c:strCache>
            </c:strRef>
          </c:tx>
          <c:spPr>
            <a:ln w="38100">
              <a:solidFill>
                <a:srgbClr val="333333"/>
              </a:solidFill>
              <a:prstDash val="solid"/>
            </a:ln>
          </c:spPr>
          <c:marker>
            <c:symbol val="none"/>
          </c:marker>
          <c:val>
            <c:numRef>
              <c:f>Arbeitsanalyse!$H$6:$H$23</c:f>
              <c:numCache>
                <c:formatCode>0.00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25</c:v>
                </c:pt>
                <c:pt idx="4">
                  <c:v>42.5</c:v>
                </c:pt>
                <c:pt idx="5">
                  <c:v>42.5</c:v>
                </c:pt>
                <c:pt idx="6">
                  <c:v>42.5</c:v>
                </c:pt>
                <c:pt idx="7">
                  <c:v>42.5</c:v>
                </c:pt>
                <c:pt idx="8">
                  <c:v>42.5</c:v>
                </c:pt>
                <c:pt idx="9">
                  <c:v>42.5</c:v>
                </c:pt>
                <c:pt idx="10">
                  <c:v>42.5</c:v>
                </c:pt>
                <c:pt idx="11">
                  <c:v>42.5</c:v>
                </c:pt>
                <c:pt idx="12">
                  <c:v>42.5</c:v>
                </c:pt>
                <c:pt idx="13">
                  <c:v>42.5</c:v>
                </c:pt>
                <c:pt idx="14">
                  <c:v>42.5</c:v>
                </c:pt>
                <c:pt idx="15">
                  <c:v>42.5</c:v>
                </c:pt>
                <c:pt idx="16">
                  <c:v>42.5</c:v>
                </c:pt>
                <c:pt idx="17">
                  <c:v>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BD-3340-9DC4-D9080C521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530840"/>
        <c:axId val="505533768"/>
      </c:lineChart>
      <c:catAx>
        <c:axId val="505523432"/>
        <c:scaling>
          <c:orientation val="minMax"/>
        </c:scaling>
        <c:delete val="0"/>
        <c:axPos val="b"/>
        <c:numFmt formatCode="m/d/yyyy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552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505527336"/>
        <c:scaling>
          <c:orientation val="minMax"/>
        </c:scaling>
        <c:delete val="0"/>
        <c:axPos val="l"/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5523432"/>
        <c:crosses val="autoZero"/>
        <c:crossBetween val="between"/>
      </c:valAx>
      <c:catAx>
        <c:axId val="505530840"/>
        <c:scaling>
          <c:orientation val="minMax"/>
        </c:scaling>
        <c:delete val="1"/>
        <c:axPos val="b"/>
        <c:majorTickMark val="out"/>
        <c:minorTickMark val="none"/>
        <c:tickLblPos val="nextTo"/>
        <c:crossAx val="505533768"/>
        <c:crosses val="autoZero"/>
        <c:auto val="0"/>
        <c:lblAlgn val="ctr"/>
        <c:lblOffset val="100"/>
        <c:noMultiLvlLbl val="0"/>
      </c:catAx>
      <c:valAx>
        <c:axId val="505533768"/>
        <c:scaling>
          <c:orientation val="minMax"/>
        </c:scaling>
        <c:delete val="0"/>
        <c:axPos val="r"/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5530840"/>
        <c:crosses val="max"/>
        <c:crossBetween val="between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993150684931503"/>
          <c:y val="0.31950174796615199"/>
          <c:w val="0.17465753424657501"/>
          <c:h val="0.2199166857254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>
      <c:oddHeader>&amp;B</c:oddHeader>
      <c:oddFooter>Page &amp;S</c:oddFooter>
    </c:headerFooter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Arbeit vs. Fortschritt (Soll)</a:t>
            </a:r>
          </a:p>
        </c:rich>
      </c:tx>
      <c:layout>
        <c:manualLayout>
          <c:xMode val="edge"/>
          <c:yMode val="edge"/>
          <c:x val="0.388837687902648"/>
          <c:y val="6.43128131710808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808607825094"/>
          <c:y val="0.15132427210291199"/>
          <c:w val="0.74645498187301096"/>
          <c:h val="0.67717611766053298"/>
        </c:manualLayout>
      </c:layout>
      <c:scatterChart>
        <c:scatterStyle val="lineMarker"/>
        <c:varyColors val="0"/>
        <c:ser>
          <c:idx val="0"/>
          <c:order val="0"/>
          <c:tx>
            <c:v>Ziellinie</c:v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none"/>
          </c:marker>
          <c:xVal>
            <c:numRef>
              <c:f>Arbeitsanalyse!$F$6:$F$23</c:f>
              <c:numCache>
                <c:formatCode>0.0%</c:formatCode>
                <c:ptCount val="18"/>
                <c:pt idx="0">
                  <c:v>0</c:v>
                </c:pt>
                <c:pt idx="1">
                  <c:v>4.6511627906976744E-2</c:v>
                </c:pt>
                <c:pt idx="2">
                  <c:v>9.3023255813953487E-2</c:v>
                </c:pt>
                <c:pt idx="3">
                  <c:v>0.16279069767441862</c:v>
                </c:pt>
                <c:pt idx="4">
                  <c:v>0.23255813953488372</c:v>
                </c:pt>
                <c:pt idx="5">
                  <c:v>0.31627906976744186</c:v>
                </c:pt>
                <c:pt idx="6">
                  <c:v>0.4</c:v>
                </c:pt>
                <c:pt idx="7">
                  <c:v>0.48372093023255813</c:v>
                </c:pt>
                <c:pt idx="8">
                  <c:v>0.56744186046511624</c:v>
                </c:pt>
                <c:pt idx="9">
                  <c:v>0.65116279069767447</c:v>
                </c:pt>
                <c:pt idx="10">
                  <c:v>0.76744186046511631</c:v>
                </c:pt>
                <c:pt idx="11">
                  <c:v>0.88372093023255816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xVal>
          <c:yVal>
            <c:numRef>
              <c:f>Arbeitsanalyse!$F$6:$F$23</c:f>
              <c:numCache>
                <c:formatCode>0.0%</c:formatCode>
                <c:ptCount val="18"/>
                <c:pt idx="0">
                  <c:v>0</c:v>
                </c:pt>
                <c:pt idx="1">
                  <c:v>4.6511627906976744E-2</c:v>
                </c:pt>
                <c:pt idx="2">
                  <c:v>9.3023255813953487E-2</c:v>
                </c:pt>
                <c:pt idx="3">
                  <c:v>0.16279069767441862</c:v>
                </c:pt>
                <c:pt idx="4">
                  <c:v>0.23255813953488372</c:v>
                </c:pt>
                <c:pt idx="5">
                  <c:v>0.31627906976744186</c:v>
                </c:pt>
                <c:pt idx="6">
                  <c:v>0.4</c:v>
                </c:pt>
                <c:pt idx="7">
                  <c:v>0.48372093023255813</c:v>
                </c:pt>
                <c:pt idx="8">
                  <c:v>0.56744186046511624</c:v>
                </c:pt>
                <c:pt idx="9">
                  <c:v>0.65116279069767447</c:v>
                </c:pt>
                <c:pt idx="10">
                  <c:v>0.76744186046511631</c:v>
                </c:pt>
                <c:pt idx="11">
                  <c:v>0.88372093023255816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FA-B145-882F-FCD9C649619E}"/>
            </c:ext>
          </c:extLst>
        </c:ser>
        <c:ser>
          <c:idx val="1"/>
          <c:order val="1"/>
          <c:tx>
            <c:v>Arbeit vs. Fortschritt (Soll)</c:v>
          </c:tx>
          <c:spPr>
            <a:ln w="254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xVal>
            <c:numRef>
              <c:f>Arbeitsanalyse!$F$6:$F$23</c:f>
              <c:numCache>
                <c:formatCode>0.0%</c:formatCode>
                <c:ptCount val="18"/>
                <c:pt idx="0">
                  <c:v>0</c:v>
                </c:pt>
                <c:pt idx="1">
                  <c:v>4.6511627906976744E-2</c:v>
                </c:pt>
                <c:pt idx="2">
                  <c:v>9.3023255813953487E-2</c:v>
                </c:pt>
                <c:pt idx="3">
                  <c:v>0.16279069767441862</c:v>
                </c:pt>
                <c:pt idx="4">
                  <c:v>0.23255813953488372</c:v>
                </c:pt>
                <c:pt idx="5">
                  <c:v>0.31627906976744186</c:v>
                </c:pt>
                <c:pt idx="6">
                  <c:v>0.4</c:v>
                </c:pt>
                <c:pt idx="7">
                  <c:v>0.48372093023255813</c:v>
                </c:pt>
                <c:pt idx="8">
                  <c:v>0.56744186046511624</c:v>
                </c:pt>
                <c:pt idx="9">
                  <c:v>0.65116279069767447</c:v>
                </c:pt>
                <c:pt idx="10">
                  <c:v>0.76744186046511631</c:v>
                </c:pt>
                <c:pt idx="11">
                  <c:v>0.88372093023255816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xVal>
          <c:yVal>
            <c:numRef>
              <c:f>Arbeitsanalyse!$J$6:$J$23</c:f>
              <c:numCache>
                <c:formatCode>0.0%</c:formatCode>
                <c:ptCount val="18"/>
                <c:pt idx="0">
                  <c:v>0</c:v>
                </c:pt>
                <c:pt idx="1">
                  <c:v>0.05</c:v>
                </c:pt>
                <c:pt idx="2">
                  <c:v>0.08</c:v>
                </c:pt>
                <c:pt idx="3">
                  <c:v>0.1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FA-B145-882F-FCD9C6496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569672"/>
        <c:axId val="505578968"/>
      </c:scatterChart>
      <c:valAx>
        <c:axId val="505569672"/>
        <c:scaling>
          <c:orientation val="minMax"/>
          <c:max val="1.2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Arbeit (Soll)</a:t>
                </a:r>
              </a:p>
            </c:rich>
          </c:tx>
          <c:layout>
            <c:manualLayout>
              <c:xMode val="edge"/>
              <c:yMode val="edge"/>
              <c:x val="0.48249932891911201"/>
              <c:y val="0.89659627773800998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5578968"/>
        <c:crossesAt val="0"/>
        <c:crossBetween val="midCat"/>
        <c:majorUnit val="0.2"/>
        <c:minorUnit val="0.1"/>
      </c:valAx>
      <c:valAx>
        <c:axId val="505578968"/>
        <c:scaling>
          <c:orientation val="minMax"/>
          <c:max val="1.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Fortschritt (Soll)</a:t>
                </a:r>
              </a:p>
            </c:rich>
          </c:tx>
          <c:layout>
            <c:manualLayout>
              <c:xMode val="edge"/>
              <c:yMode val="edge"/>
              <c:x val="3.9735146743020797E-2"/>
              <c:y val="0.36317823908375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5569672"/>
        <c:crossesAt val="0"/>
        <c:crossBetween val="midCat"/>
        <c:majorUnit val="0.2"/>
        <c:minorUnit val="0.1"/>
      </c:valAx>
      <c:spPr>
        <a:solidFill>
          <a:srgbClr val="CCCC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/>
    <c:pageMargins b="1" l="0.75" r="0.75" t="1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Arbeit vs. Fortschritt (Ist)</a:t>
            </a:r>
          </a:p>
        </c:rich>
      </c:tx>
      <c:layout>
        <c:manualLayout>
          <c:xMode val="edge"/>
          <c:yMode val="edge"/>
          <c:x val="0.39244140267350303"/>
          <c:y val="6.46387832699620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313933991968201"/>
          <c:y val="0.15209104297565201"/>
          <c:w val="0.74418525427680304"/>
          <c:h val="0.67680514124165303"/>
        </c:manualLayout>
      </c:layout>
      <c:scatterChart>
        <c:scatterStyle val="lineMarker"/>
        <c:varyColors val="0"/>
        <c:ser>
          <c:idx val="0"/>
          <c:order val="0"/>
          <c:tx>
            <c:v>Ziellinie</c:v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none"/>
          </c:marker>
          <c:xVal>
            <c:numRef>
              <c:f>Arbeitsanalyse!$F$6:$F$23</c:f>
              <c:numCache>
                <c:formatCode>0.0%</c:formatCode>
                <c:ptCount val="18"/>
                <c:pt idx="0">
                  <c:v>0</c:v>
                </c:pt>
                <c:pt idx="1">
                  <c:v>4.6511627906976744E-2</c:v>
                </c:pt>
                <c:pt idx="2">
                  <c:v>9.3023255813953487E-2</c:v>
                </c:pt>
                <c:pt idx="3">
                  <c:v>0.16279069767441862</c:v>
                </c:pt>
                <c:pt idx="4">
                  <c:v>0.23255813953488372</c:v>
                </c:pt>
                <c:pt idx="5">
                  <c:v>0.31627906976744186</c:v>
                </c:pt>
                <c:pt idx="6">
                  <c:v>0.4</c:v>
                </c:pt>
                <c:pt idx="7">
                  <c:v>0.48372093023255813</c:v>
                </c:pt>
                <c:pt idx="8">
                  <c:v>0.56744186046511624</c:v>
                </c:pt>
                <c:pt idx="9">
                  <c:v>0.65116279069767447</c:v>
                </c:pt>
                <c:pt idx="10">
                  <c:v>0.76744186046511631</c:v>
                </c:pt>
                <c:pt idx="11">
                  <c:v>0.88372093023255816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xVal>
          <c:yVal>
            <c:numRef>
              <c:f>Arbeitsanalyse!$F$6:$F$23</c:f>
              <c:numCache>
                <c:formatCode>0.0%</c:formatCode>
                <c:ptCount val="18"/>
                <c:pt idx="0">
                  <c:v>0</c:v>
                </c:pt>
                <c:pt idx="1">
                  <c:v>4.6511627906976744E-2</c:v>
                </c:pt>
                <c:pt idx="2">
                  <c:v>9.3023255813953487E-2</c:v>
                </c:pt>
                <c:pt idx="3">
                  <c:v>0.16279069767441862</c:v>
                </c:pt>
                <c:pt idx="4">
                  <c:v>0.23255813953488372</c:v>
                </c:pt>
                <c:pt idx="5">
                  <c:v>0.31627906976744186</c:v>
                </c:pt>
                <c:pt idx="6">
                  <c:v>0.4</c:v>
                </c:pt>
                <c:pt idx="7">
                  <c:v>0.48372093023255813</c:v>
                </c:pt>
                <c:pt idx="8">
                  <c:v>0.56744186046511624</c:v>
                </c:pt>
                <c:pt idx="9">
                  <c:v>0.65116279069767447</c:v>
                </c:pt>
                <c:pt idx="10">
                  <c:v>0.76744186046511631</c:v>
                </c:pt>
                <c:pt idx="11">
                  <c:v>0.88372093023255816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4A-3842-812C-B0DBC70C80AF}"/>
            </c:ext>
          </c:extLst>
        </c:ser>
        <c:ser>
          <c:idx val="1"/>
          <c:order val="1"/>
          <c:tx>
            <c:v>Arbeit vs. Fortschritt (Soll)</c:v>
          </c:tx>
          <c:spPr>
            <a:ln w="254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xVal>
            <c:numRef>
              <c:f>Arbeitsanalyse!$I$6:$I$23</c:f>
              <c:numCache>
                <c:formatCode>0.0%</c:formatCode>
                <c:ptCount val="18"/>
                <c:pt idx="0">
                  <c:v>0</c:v>
                </c:pt>
                <c:pt idx="1">
                  <c:v>2.3255813953488372E-2</c:v>
                </c:pt>
                <c:pt idx="2">
                  <c:v>6.9767441860465115E-2</c:v>
                </c:pt>
                <c:pt idx="3">
                  <c:v>0.11627906976744186</c:v>
                </c:pt>
                <c:pt idx="4">
                  <c:v>0.19767441860465115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xVal>
          <c:yVal>
            <c:numRef>
              <c:f>Arbeitsanalyse!$K$6:$K$23</c:f>
              <c:numCache>
                <c:formatCode>0.0%</c:formatCode>
                <c:ptCount val="18"/>
                <c:pt idx="0">
                  <c:v>0</c:v>
                </c:pt>
                <c:pt idx="1">
                  <c:v>0.05</c:v>
                </c:pt>
                <c:pt idx="2">
                  <c:v>0.08</c:v>
                </c:pt>
                <c:pt idx="3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4A-3842-812C-B0DBC70C8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620760"/>
        <c:axId val="505630040"/>
      </c:scatterChart>
      <c:valAx>
        <c:axId val="505620760"/>
        <c:scaling>
          <c:orientation val="minMax"/>
          <c:max val="1.2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Arbeit (Ist)</a:t>
                </a:r>
              </a:p>
            </c:rich>
          </c:tx>
          <c:layout>
            <c:manualLayout>
              <c:xMode val="edge"/>
              <c:yMode val="edge"/>
              <c:x val="0.491278611975829"/>
              <c:y val="0.89733720547288998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5630040"/>
        <c:crossesAt val="0"/>
        <c:crossBetween val="midCat"/>
        <c:majorUnit val="0.2"/>
        <c:minorUnit val="0.1"/>
      </c:valAx>
      <c:valAx>
        <c:axId val="505630040"/>
        <c:scaling>
          <c:orientation val="minMax"/>
          <c:max val="1.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Fortschritt (Ist)</a:t>
                </a:r>
              </a:p>
            </c:rich>
          </c:tx>
          <c:layout>
            <c:manualLayout>
              <c:xMode val="edge"/>
              <c:yMode val="edge"/>
              <c:x val="4.0697674418604599E-2"/>
              <c:y val="0.37642525672883997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5620760"/>
        <c:crossesAt val="0"/>
        <c:crossBetween val="midCat"/>
        <c:majorUnit val="0.2"/>
        <c:minorUnit val="0.1"/>
      </c:valAx>
      <c:spPr>
        <a:solidFill>
          <a:srgbClr val="CCCC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/>
    <c:pageMargins b="1" l="0.75" r="0.75" t="1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43</xdr:row>
      <xdr:rowOff>101600</xdr:rowOff>
    </xdr:from>
    <xdr:to>
      <xdr:col>8</xdr:col>
      <xdr:colOff>0</xdr:colOff>
      <xdr:row>53</xdr:row>
      <xdr:rowOff>101600</xdr:rowOff>
    </xdr:to>
    <xdr:graphicFrame macro="">
      <xdr:nvGraphicFramePr>
        <xdr:cNvPr id="5131" name="Chart 7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609600</xdr:colOff>
      <xdr:row>54</xdr:row>
      <xdr:rowOff>0</xdr:rowOff>
    </xdr:from>
    <xdr:to>
      <xdr:col>8</xdr:col>
      <xdr:colOff>0</xdr:colOff>
      <xdr:row>64</xdr:row>
      <xdr:rowOff>76200</xdr:rowOff>
    </xdr:to>
    <xdr:graphicFrame macro="">
      <xdr:nvGraphicFramePr>
        <xdr:cNvPr id="5132" name="Chart 8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4233</xdr:colOff>
      <xdr:row>43</xdr:row>
      <xdr:rowOff>101601</xdr:rowOff>
    </xdr:from>
    <xdr:to>
      <xdr:col>5</xdr:col>
      <xdr:colOff>423333</xdr:colOff>
      <xdr:row>64</xdr:row>
      <xdr:rowOff>76201</xdr:rowOff>
    </xdr:to>
    <xdr:graphicFrame macro="">
      <xdr:nvGraphicFramePr>
        <xdr:cNvPr id="5133" name="Chart 9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165100</xdr:colOff>
      <xdr:row>32</xdr:row>
      <xdr:rowOff>101600</xdr:rowOff>
    </xdr:from>
    <xdr:to>
      <xdr:col>8</xdr:col>
      <xdr:colOff>901700</xdr:colOff>
      <xdr:row>67</xdr:row>
      <xdr:rowOff>0</xdr:rowOff>
    </xdr:to>
    <xdr:graphicFrame macro="">
      <xdr:nvGraphicFramePr>
        <xdr:cNvPr id="1027" name="Chart 1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76200</xdr:rowOff>
    </xdr:from>
    <xdr:to>
      <xdr:col>4</xdr:col>
      <xdr:colOff>1244600</xdr:colOff>
      <xdr:row>48</xdr:row>
      <xdr:rowOff>76200</xdr:rowOff>
    </xdr:to>
    <xdr:graphicFrame macro="">
      <xdr:nvGraphicFramePr>
        <xdr:cNvPr id="3083" name="Chart 2">
          <a:extLs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76200</xdr:rowOff>
    </xdr:from>
    <xdr:to>
      <xdr:col>11</xdr:col>
      <xdr:colOff>0</xdr:colOff>
      <xdr:row>48</xdr:row>
      <xdr:rowOff>76200</xdr:rowOff>
    </xdr:to>
    <xdr:graphicFrame macro="">
      <xdr:nvGraphicFramePr>
        <xdr:cNvPr id="3084" name="Chart 3">
          <a:extLs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</xdr:colOff>
      <xdr:row>76</xdr:row>
      <xdr:rowOff>0</xdr:rowOff>
    </xdr:from>
    <xdr:to>
      <xdr:col>8</xdr:col>
      <xdr:colOff>0</xdr:colOff>
      <xdr:row>96</xdr:row>
      <xdr:rowOff>12700</xdr:rowOff>
    </xdr:to>
    <xdr:graphicFrame macro="">
      <xdr:nvGraphicFramePr>
        <xdr:cNvPr id="3085" name="Chart 5"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51</xdr:row>
      <xdr:rowOff>76200</xdr:rowOff>
    </xdr:from>
    <xdr:to>
      <xdr:col>5</xdr:col>
      <xdr:colOff>0</xdr:colOff>
      <xdr:row>73</xdr:row>
      <xdr:rowOff>76200</xdr:rowOff>
    </xdr:to>
    <xdr:graphicFrame macro="">
      <xdr:nvGraphicFramePr>
        <xdr:cNvPr id="3086" name="Chart 8">
          <a:extLst>
            <a:ext uri="{FF2B5EF4-FFF2-40B4-BE49-F238E27FC236}">
              <a16:creationId xmlns:a16="http://schemas.microsoft.com/office/drawing/2014/main" id="{00000000-0008-0000-0200-00000E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51</xdr:row>
      <xdr:rowOff>76200</xdr:rowOff>
    </xdr:from>
    <xdr:to>
      <xdr:col>11</xdr:col>
      <xdr:colOff>0</xdr:colOff>
      <xdr:row>73</xdr:row>
      <xdr:rowOff>63500</xdr:rowOff>
    </xdr:to>
    <xdr:graphicFrame macro="">
      <xdr:nvGraphicFramePr>
        <xdr:cNvPr id="3087" name="Chart 10"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kas.pancratius@stud.hs-emden-leer.de" TargetMode="External"/><Relationship Id="rId2" Type="http://schemas.openxmlformats.org/officeDocument/2006/relationships/hyperlink" Target="mailto:ino.woelke@stud.hs-emden-leer.de" TargetMode="External"/><Relationship Id="rId1" Type="http://schemas.openxmlformats.org/officeDocument/2006/relationships/hyperlink" Target="mailto:gert.veltink@hs-emden-leer.de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lexander.borrmann@stud.hs-emden-leer.d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Tabelle1">
    <pageSetUpPr fitToPage="1"/>
  </sheetPr>
  <dimension ref="A1:J69"/>
  <sheetViews>
    <sheetView tabSelected="1" topLeftCell="A5" zoomScale="86" zoomScaleNormal="150" workbookViewId="0">
      <selection activeCell="B15" sqref="B15:H24"/>
    </sheetView>
  </sheetViews>
  <sheetFormatPr baseColWidth="10" defaultColWidth="11.44140625" defaultRowHeight="13.2" x14ac:dyDescent="0.25"/>
  <cols>
    <col min="1" max="1" width="15.44140625" style="1" customWidth="1"/>
    <col min="2" max="2" width="10.44140625" style="1" customWidth="1"/>
    <col min="3" max="3" width="2" style="1" customWidth="1"/>
    <col min="4" max="4" width="10.44140625" style="1" customWidth="1"/>
    <col min="5" max="5" width="23" style="1" customWidth="1"/>
    <col min="6" max="6" width="14.44140625" style="1" customWidth="1"/>
    <col min="7" max="7" width="6.77734375" style="1" customWidth="1"/>
    <col min="8" max="8" width="12" style="1" customWidth="1"/>
    <col min="9" max="9" width="2.77734375" style="1" customWidth="1"/>
    <col min="10" max="16384" width="11.44140625" style="1"/>
  </cols>
  <sheetData>
    <row r="1" spans="1:10" x14ac:dyDescent="0.25">
      <c r="J1" s="122" t="s">
        <v>66</v>
      </c>
    </row>
    <row r="2" spans="1:10" ht="21" x14ac:dyDescent="0.4">
      <c r="A2" s="13" t="s">
        <v>22</v>
      </c>
      <c r="B2" s="139" t="s">
        <v>80</v>
      </c>
      <c r="C2" s="139"/>
      <c r="D2" s="139"/>
      <c r="E2" s="139"/>
      <c r="F2" s="139"/>
      <c r="G2" s="139"/>
      <c r="H2" s="139"/>
      <c r="J2" s="123"/>
    </row>
    <row r="3" spans="1:10" ht="15.75" customHeight="1" x14ac:dyDescent="0.3">
      <c r="A3" s="13" t="s">
        <v>26</v>
      </c>
      <c r="B3" s="91">
        <v>46307</v>
      </c>
      <c r="C3" s="92" t="s">
        <v>27</v>
      </c>
      <c r="D3" s="93">
        <f>B3+B4-1</f>
        <v>46313</v>
      </c>
      <c r="E3" s="94" t="s">
        <v>44</v>
      </c>
      <c r="F3" s="82">
        <v>4</v>
      </c>
      <c r="G3" s="94" t="s">
        <v>24</v>
      </c>
      <c r="H3" s="95">
        <f ca="1">TODAY()</f>
        <v>46318</v>
      </c>
      <c r="J3" s="123" t="s">
        <v>63</v>
      </c>
    </row>
    <row r="4" spans="1:10" ht="15.75" customHeight="1" x14ac:dyDescent="0.25">
      <c r="A4" s="13" t="s">
        <v>41</v>
      </c>
      <c r="B4" s="96">
        <v>7</v>
      </c>
      <c r="C4" s="97"/>
      <c r="D4" s="98"/>
      <c r="E4" s="99"/>
      <c r="F4" s="99"/>
      <c r="G4" s="89" t="s">
        <v>31</v>
      </c>
      <c r="H4" s="121" t="s">
        <v>76</v>
      </c>
      <c r="J4" s="123" t="s">
        <v>64</v>
      </c>
    </row>
    <row r="5" spans="1:10" ht="15.75" customHeight="1" x14ac:dyDescent="0.25">
      <c r="A5" s="13"/>
      <c r="B5" s="15"/>
      <c r="C5" s="2"/>
      <c r="D5" s="3"/>
      <c r="E5" s="14" t="s">
        <v>32</v>
      </c>
      <c r="F5" s="14" t="s">
        <v>33</v>
      </c>
      <c r="G5" s="13"/>
      <c r="H5" s="26" t="s">
        <v>2</v>
      </c>
      <c r="J5" s="123"/>
    </row>
    <row r="6" spans="1:10" ht="15.6" x14ac:dyDescent="0.3">
      <c r="A6" s="13" t="s">
        <v>25</v>
      </c>
      <c r="B6" s="141" t="s">
        <v>73</v>
      </c>
      <c r="C6" s="142"/>
      <c r="D6" s="142"/>
      <c r="E6" s="118" t="s">
        <v>77</v>
      </c>
      <c r="F6" s="83"/>
      <c r="G6" s="84"/>
      <c r="H6" s="85">
        <v>7026074</v>
      </c>
      <c r="J6" s="123"/>
    </row>
    <row r="7" spans="1:10" ht="15.6" x14ac:dyDescent="0.3">
      <c r="A7" s="13" t="s">
        <v>25</v>
      </c>
      <c r="B7" s="135" t="s">
        <v>74</v>
      </c>
      <c r="C7" s="136"/>
      <c r="D7" s="136"/>
      <c r="E7" s="118" t="s">
        <v>78</v>
      </c>
      <c r="F7" s="11"/>
      <c r="G7" s="13"/>
      <c r="H7" s="86">
        <v>7026439</v>
      </c>
      <c r="J7" s="123"/>
    </row>
    <row r="8" spans="1:10" ht="15.6" x14ac:dyDescent="0.3">
      <c r="A8" s="13" t="s">
        <v>25</v>
      </c>
      <c r="B8" s="135" t="s">
        <v>75</v>
      </c>
      <c r="C8" s="136"/>
      <c r="D8" s="136"/>
      <c r="E8" s="118" t="s">
        <v>79</v>
      </c>
      <c r="F8" s="11"/>
      <c r="G8" s="13"/>
      <c r="H8" s="86">
        <v>7026303</v>
      </c>
      <c r="J8" s="123"/>
    </row>
    <row r="9" spans="1:10" ht="15.6" x14ac:dyDescent="0.3">
      <c r="A9" s="13" t="s">
        <v>25</v>
      </c>
      <c r="B9" s="137" t="s">
        <v>27</v>
      </c>
      <c r="C9" s="138"/>
      <c r="D9" s="138"/>
      <c r="E9" s="87" t="s">
        <v>27</v>
      </c>
      <c r="F9" s="88" t="s">
        <v>27</v>
      </c>
      <c r="G9" s="89" t="s">
        <v>27</v>
      </c>
      <c r="H9" s="90" t="s">
        <v>27</v>
      </c>
      <c r="J9" s="123"/>
    </row>
    <row r="10" spans="1:10" ht="9" customHeight="1" x14ac:dyDescent="0.3">
      <c r="A10" s="13"/>
      <c r="B10" s="24"/>
      <c r="C10" s="24"/>
      <c r="D10" s="24"/>
      <c r="E10" s="12"/>
      <c r="F10" s="11"/>
      <c r="G10" s="13"/>
      <c r="H10" s="4"/>
      <c r="J10" s="123"/>
    </row>
    <row r="11" spans="1:10" x14ac:dyDescent="0.25">
      <c r="A11" s="13" t="s">
        <v>28</v>
      </c>
      <c r="B11" s="143" t="s">
        <v>30</v>
      </c>
      <c r="C11" s="144"/>
      <c r="D11" s="144"/>
      <c r="E11" s="118" t="s">
        <v>57</v>
      </c>
      <c r="F11" s="83" t="s">
        <v>42</v>
      </c>
      <c r="G11" s="84"/>
      <c r="H11" s="100"/>
      <c r="J11" s="123"/>
    </row>
    <row r="12" spans="1:10" x14ac:dyDescent="0.25">
      <c r="A12" s="13" t="s">
        <v>29</v>
      </c>
      <c r="B12" s="145" t="s">
        <v>72</v>
      </c>
      <c r="C12" s="146"/>
      <c r="D12" s="146"/>
      <c r="E12" s="124"/>
      <c r="F12" s="99"/>
      <c r="G12" s="99"/>
      <c r="H12" s="81"/>
      <c r="J12" s="123" t="s">
        <v>65</v>
      </c>
    </row>
    <row r="13" spans="1:10" x14ac:dyDescent="0.25">
      <c r="A13"/>
      <c r="B13"/>
      <c r="C13"/>
      <c r="D13"/>
      <c r="E13"/>
      <c r="F13"/>
      <c r="G13"/>
      <c r="H13"/>
      <c r="I13"/>
      <c r="J13" s="123"/>
    </row>
    <row r="14" spans="1:10" ht="15" customHeight="1" x14ac:dyDescent="0.25">
      <c r="A14" s="29"/>
      <c r="B14" s="6" t="s">
        <v>36</v>
      </c>
      <c r="C14" s="30"/>
      <c r="D14" s="30"/>
      <c r="E14" s="30"/>
      <c r="F14" s="30"/>
      <c r="G14" s="30"/>
      <c r="H14"/>
      <c r="I14"/>
      <c r="J14" s="123"/>
    </row>
    <row r="15" spans="1:10" x14ac:dyDescent="0.25">
      <c r="A15" s="5" t="s">
        <v>35</v>
      </c>
      <c r="B15" s="155" t="s">
        <v>89</v>
      </c>
      <c r="C15" s="127"/>
      <c r="D15" s="127"/>
      <c r="E15" s="127"/>
      <c r="F15" s="127"/>
      <c r="G15" s="127"/>
      <c r="H15" s="128"/>
      <c r="I15"/>
      <c r="J15" s="123" t="s">
        <v>67</v>
      </c>
    </row>
    <row r="16" spans="1:10" x14ac:dyDescent="0.25">
      <c r="A16" s="5"/>
      <c r="B16" s="129"/>
      <c r="C16" s="130"/>
      <c r="D16" s="130"/>
      <c r="E16" s="130"/>
      <c r="F16" s="130"/>
      <c r="G16" s="130"/>
      <c r="H16" s="131"/>
      <c r="I16"/>
      <c r="J16" s="123"/>
    </row>
    <row r="17" spans="1:10" x14ac:dyDescent="0.25">
      <c r="A17" s="5"/>
      <c r="B17" s="129"/>
      <c r="C17" s="130"/>
      <c r="D17" s="130"/>
      <c r="E17" s="130"/>
      <c r="F17" s="130"/>
      <c r="G17" s="130"/>
      <c r="H17" s="131"/>
      <c r="I17"/>
      <c r="J17" s="123"/>
    </row>
    <row r="18" spans="1:10" x14ac:dyDescent="0.25">
      <c r="A18" s="5"/>
      <c r="B18" s="129"/>
      <c r="C18" s="130"/>
      <c r="D18" s="130"/>
      <c r="E18" s="130"/>
      <c r="F18" s="130"/>
      <c r="G18" s="130"/>
      <c r="H18" s="131"/>
      <c r="I18"/>
      <c r="J18" s="123"/>
    </row>
    <row r="19" spans="1:10" x14ac:dyDescent="0.25">
      <c r="A19" s="5"/>
      <c r="B19" s="129"/>
      <c r="C19" s="130"/>
      <c r="D19" s="130"/>
      <c r="E19" s="130"/>
      <c r="F19" s="130"/>
      <c r="G19" s="130"/>
      <c r="H19" s="131"/>
      <c r="I19"/>
      <c r="J19" s="123"/>
    </row>
    <row r="20" spans="1:10" x14ac:dyDescent="0.25">
      <c r="A20" s="5"/>
      <c r="B20" s="129"/>
      <c r="C20" s="130"/>
      <c r="D20" s="130"/>
      <c r="E20" s="130"/>
      <c r="F20" s="130"/>
      <c r="G20" s="130"/>
      <c r="H20" s="131"/>
      <c r="I20"/>
      <c r="J20" s="123"/>
    </row>
    <row r="21" spans="1:10" x14ac:dyDescent="0.25">
      <c r="A21" s="5"/>
      <c r="B21" s="129"/>
      <c r="C21" s="130"/>
      <c r="D21" s="130"/>
      <c r="E21" s="130"/>
      <c r="F21" s="130"/>
      <c r="G21" s="130"/>
      <c r="H21" s="131"/>
      <c r="I21"/>
      <c r="J21" s="123"/>
    </row>
    <row r="22" spans="1:10" x14ac:dyDescent="0.25">
      <c r="A22" s="5"/>
      <c r="B22" s="129"/>
      <c r="C22" s="130"/>
      <c r="D22" s="130"/>
      <c r="E22" s="130"/>
      <c r="F22" s="130"/>
      <c r="G22" s="130"/>
      <c r="H22" s="131"/>
      <c r="I22"/>
      <c r="J22" s="123"/>
    </row>
    <row r="23" spans="1:10" x14ac:dyDescent="0.25">
      <c r="A23" s="5"/>
      <c r="B23" s="129"/>
      <c r="C23" s="130"/>
      <c r="D23" s="130"/>
      <c r="E23" s="130"/>
      <c r="F23" s="130"/>
      <c r="G23" s="130"/>
      <c r="H23" s="131"/>
      <c r="I23"/>
      <c r="J23" s="123"/>
    </row>
    <row r="24" spans="1:10" x14ac:dyDescent="0.25">
      <c r="A24" s="5"/>
      <c r="B24" s="132"/>
      <c r="C24" s="133"/>
      <c r="D24" s="133"/>
      <c r="E24" s="133"/>
      <c r="F24" s="133"/>
      <c r="G24" s="133"/>
      <c r="H24" s="134"/>
      <c r="I24"/>
      <c r="J24" s="123"/>
    </row>
    <row r="25" spans="1:10" x14ac:dyDescent="0.25">
      <c r="A25" s="5"/>
      <c r="B25" s="31"/>
      <c r="C25" s="31"/>
      <c r="D25" s="31"/>
      <c r="E25" s="31"/>
      <c r="F25" s="31"/>
      <c r="G25" s="31"/>
      <c r="H25" s="32"/>
      <c r="I25"/>
      <c r="J25" s="123"/>
    </row>
    <row r="26" spans="1:10" x14ac:dyDescent="0.25">
      <c r="A26" s="5" t="s">
        <v>39</v>
      </c>
      <c r="B26" s="126" t="s">
        <v>27</v>
      </c>
      <c r="C26" s="127"/>
      <c r="D26" s="127"/>
      <c r="E26" s="127"/>
      <c r="F26" s="127"/>
      <c r="G26" s="127"/>
      <c r="H26" s="128"/>
      <c r="I26"/>
      <c r="J26" s="123"/>
    </row>
    <row r="27" spans="1:10" x14ac:dyDescent="0.25">
      <c r="A27" s="5"/>
      <c r="B27" s="129"/>
      <c r="C27" s="130"/>
      <c r="D27" s="130"/>
      <c r="E27" s="130"/>
      <c r="F27" s="130"/>
      <c r="G27" s="130"/>
      <c r="H27" s="131"/>
      <c r="I27"/>
      <c r="J27" s="123"/>
    </row>
    <row r="28" spans="1:10" x14ac:dyDescent="0.25">
      <c r="A28" s="5"/>
      <c r="B28" s="129"/>
      <c r="C28" s="130"/>
      <c r="D28" s="130"/>
      <c r="E28" s="130"/>
      <c r="F28" s="130"/>
      <c r="G28" s="130"/>
      <c r="H28" s="131"/>
      <c r="I28"/>
      <c r="J28" s="123"/>
    </row>
    <row r="29" spans="1:10" x14ac:dyDescent="0.25">
      <c r="A29" s="5"/>
      <c r="B29" s="129"/>
      <c r="C29" s="130"/>
      <c r="D29" s="130"/>
      <c r="E29" s="130"/>
      <c r="F29" s="130"/>
      <c r="G29" s="130"/>
      <c r="H29" s="131"/>
      <c r="I29"/>
      <c r="J29" s="123"/>
    </row>
    <row r="30" spans="1:10" x14ac:dyDescent="0.25">
      <c r="A30" s="5"/>
      <c r="B30" s="129"/>
      <c r="C30" s="130"/>
      <c r="D30" s="130"/>
      <c r="E30" s="130"/>
      <c r="F30" s="130"/>
      <c r="G30" s="130"/>
      <c r="H30" s="131"/>
      <c r="I30"/>
      <c r="J30" s="123"/>
    </row>
    <row r="31" spans="1:10" x14ac:dyDescent="0.25">
      <c r="A31" s="5"/>
      <c r="B31" s="132"/>
      <c r="C31" s="133"/>
      <c r="D31" s="133"/>
      <c r="E31" s="133"/>
      <c r="F31" s="133"/>
      <c r="G31" s="133"/>
      <c r="H31" s="134"/>
      <c r="I31"/>
      <c r="J31" s="123"/>
    </row>
    <row r="32" spans="1:10" x14ac:dyDescent="0.25">
      <c r="A32" s="5"/>
      <c r="B32" s="32"/>
      <c r="C32" s="32"/>
      <c r="D32" s="32"/>
      <c r="E32" s="32"/>
      <c r="F32" s="32"/>
      <c r="G32" s="32"/>
      <c r="H32" s="32"/>
      <c r="I32"/>
      <c r="J32" s="123"/>
    </row>
    <row r="33" spans="1:10" x14ac:dyDescent="0.25">
      <c r="A33" s="5" t="s">
        <v>37</v>
      </c>
      <c r="B33" s="126" t="s">
        <v>88</v>
      </c>
      <c r="C33" s="127"/>
      <c r="D33" s="127"/>
      <c r="E33" s="127"/>
      <c r="F33" s="127"/>
      <c r="G33" s="127"/>
      <c r="H33" s="128"/>
      <c r="I33"/>
      <c r="J33" s="123"/>
    </row>
    <row r="34" spans="1:10" x14ac:dyDescent="0.25">
      <c r="A34" s="5"/>
      <c r="B34" s="129"/>
      <c r="C34" s="130"/>
      <c r="D34" s="130"/>
      <c r="E34" s="130"/>
      <c r="F34" s="130"/>
      <c r="G34" s="130"/>
      <c r="H34" s="131"/>
      <c r="I34"/>
      <c r="J34" s="123"/>
    </row>
    <row r="35" spans="1:10" x14ac:dyDescent="0.25">
      <c r="A35" s="5"/>
      <c r="B35" s="129"/>
      <c r="C35" s="130"/>
      <c r="D35" s="130"/>
      <c r="E35" s="130"/>
      <c r="F35" s="130"/>
      <c r="G35" s="130"/>
      <c r="H35" s="131"/>
      <c r="I35"/>
      <c r="J35" s="123"/>
    </row>
    <row r="36" spans="1:10" x14ac:dyDescent="0.25">
      <c r="A36" s="5"/>
      <c r="B36" s="132"/>
      <c r="C36" s="133"/>
      <c r="D36" s="133"/>
      <c r="E36" s="133"/>
      <c r="F36" s="133"/>
      <c r="G36" s="133"/>
      <c r="H36" s="134"/>
      <c r="I36"/>
      <c r="J36" s="123"/>
    </row>
    <row r="37" spans="1:10" x14ac:dyDescent="0.25">
      <c r="A37" s="5"/>
      <c r="B37" s="32"/>
      <c r="C37" s="32"/>
      <c r="D37" s="32"/>
      <c r="E37" s="32"/>
      <c r="F37" s="32"/>
      <c r="G37" s="32"/>
      <c r="H37" s="32"/>
      <c r="I37"/>
      <c r="J37" s="123"/>
    </row>
    <row r="38" spans="1:10" x14ac:dyDescent="0.25">
      <c r="A38" s="5" t="s">
        <v>38</v>
      </c>
      <c r="B38" s="126" t="s">
        <v>27</v>
      </c>
      <c r="C38" s="127"/>
      <c r="D38" s="127"/>
      <c r="E38" s="127"/>
      <c r="F38" s="127"/>
      <c r="G38" s="127"/>
      <c r="H38" s="128"/>
      <c r="I38"/>
      <c r="J38" s="123"/>
    </row>
    <row r="39" spans="1:10" x14ac:dyDescent="0.25">
      <c r="A39" s="33"/>
      <c r="B39" s="129"/>
      <c r="C39" s="130"/>
      <c r="D39" s="130"/>
      <c r="E39" s="130"/>
      <c r="F39" s="130"/>
      <c r="G39" s="130"/>
      <c r="H39" s="131"/>
      <c r="I39"/>
      <c r="J39" s="123"/>
    </row>
    <row r="40" spans="1:10" x14ac:dyDescent="0.25">
      <c r="A40" s="33"/>
      <c r="B40" s="129"/>
      <c r="C40" s="130"/>
      <c r="D40" s="130"/>
      <c r="E40" s="130"/>
      <c r="F40" s="130"/>
      <c r="G40" s="130"/>
      <c r="H40" s="131"/>
      <c r="I40"/>
      <c r="J40" s="123"/>
    </row>
    <row r="41" spans="1:10" x14ac:dyDescent="0.25">
      <c r="A41" s="33"/>
      <c r="B41" s="129"/>
      <c r="C41" s="130"/>
      <c r="D41" s="130"/>
      <c r="E41" s="130"/>
      <c r="F41" s="130"/>
      <c r="G41" s="130"/>
      <c r="H41" s="131"/>
      <c r="I41"/>
      <c r="J41" s="123"/>
    </row>
    <row r="42" spans="1:10" x14ac:dyDescent="0.25">
      <c r="A42" s="33"/>
      <c r="B42" s="129"/>
      <c r="C42" s="130"/>
      <c r="D42" s="130"/>
      <c r="E42" s="130"/>
      <c r="F42" s="130"/>
      <c r="G42" s="130"/>
      <c r="H42" s="131"/>
      <c r="I42"/>
      <c r="J42" s="123"/>
    </row>
    <row r="43" spans="1:10" x14ac:dyDescent="0.25">
      <c r="A43" s="33"/>
      <c r="B43" s="132"/>
      <c r="C43" s="133"/>
      <c r="D43" s="133"/>
      <c r="E43" s="133"/>
      <c r="F43" s="133"/>
      <c r="G43" s="133"/>
      <c r="H43" s="134"/>
      <c r="I43"/>
      <c r="J43" s="123"/>
    </row>
    <row r="44" spans="1:10" x14ac:dyDescent="0.25">
      <c r="A44"/>
      <c r="B44"/>
      <c r="C44"/>
      <c r="D44"/>
      <c r="E44"/>
      <c r="F44"/>
      <c r="G44"/>
      <c r="H44"/>
      <c r="I44"/>
      <c r="J44" s="123"/>
    </row>
    <row r="45" spans="1:10" x14ac:dyDescent="0.25">
      <c r="A45"/>
      <c r="B45"/>
      <c r="C45"/>
      <c r="D45"/>
      <c r="E45"/>
      <c r="F45"/>
      <c r="G45"/>
      <c r="H45"/>
      <c r="I45"/>
      <c r="J45" s="123" t="s">
        <v>68</v>
      </c>
    </row>
    <row r="46" spans="1:10" x14ac:dyDescent="0.25">
      <c r="A46"/>
      <c r="B46"/>
      <c r="C46"/>
      <c r="D46"/>
      <c r="E46"/>
      <c r="F46"/>
      <c r="G46"/>
      <c r="H46"/>
      <c r="I46"/>
      <c r="J46" s="123" t="s">
        <v>69</v>
      </c>
    </row>
    <row r="47" spans="1:10" x14ac:dyDescent="0.25">
      <c r="A47"/>
      <c r="B47"/>
      <c r="C47"/>
      <c r="D47"/>
      <c r="E47"/>
      <c r="F47"/>
      <c r="G47"/>
      <c r="H47"/>
      <c r="I47"/>
      <c r="J47" s="123"/>
    </row>
    <row r="48" spans="1:10" x14ac:dyDescent="0.25">
      <c r="A48"/>
      <c r="B48"/>
      <c r="C48"/>
      <c r="D48"/>
      <c r="E48"/>
      <c r="F48"/>
      <c r="G48"/>
      <c r="H48"/>
      <c r="I48"/>
      <c r="J48" s="123" t="s">
        <v>70</v>
      </c>
    </row>
    <row r="49" spans="1:10" x14ac:dyDescent="0.25">
      <c r="A49"/>
      <c r="B49"/>
      <c r="C49"/>
      <c r="D49"/>
      <c r="E49"/>
      <c r="F49"/>
      <c r="G49"/>
      <c r="H49"/>
      <c r="I49"/>
      <c r="J49" s="123"/>
    </row>
    <row r="50" spans="1:10" x14ac:dyDescent="0.25">
      <c r="A50"/>
      <c r="B50"/>
      <c r="C50"/>
      <c r="D50"/>
      <c r="E50"/>
      <c r="F50"/>
      <c r="G50"/>
      <c r="H50"/>
      <c r="I50"/>
      <c r="J50" s="123"/>
    </row>
    <row r="51" spans="1:10" x14ac:dyDescent="0.25">
      <c r="A51"/>
      <c r="B51"/>
      <c r="C51"/>
      <c r="D51"/>
      <c r="E51"/>
      <c r="F51"/>
      <c r="G51"/>
      <c r="H51"/>
      <c r="I51"/>
      <c r="J51" s="123"/>
    </row>
    <row r="52" spans="1:10" x14ac:dyDescent="0.25">
      <c r="A52"/>
      <c r="B52"/>
      <c r="C52"/>
      <c r="D52"/>
      <c r="E52"/>
      <c r="F52"/>
      <c r="G52"/>
      <c r="H52"/>
      <c r="I52"/>
      <c r="J52" s="123"/>
    </row>
    <row r="53" spans="1:10" x14ac:dyDescent="0.25">
      <c r="A53"/>
      <c r="B53"/>
      <c r="C53"/>
      <c r="D53"/>
      <c r="E53"/>
      <c r="F53"/>
      <c r="G53"/>
      <c r="H53"/>
      <c r="I53"/>
      <c r="J53" s="123"/>
    </row>
    <row r="54" spans="1:10" x14ac:dyDescent="0.25">
      <c r="A54"/>
      <c r="B54"/>
      <c r="C54"/>
      <c r="D54"/>
      <c r="E54"/>
      <c r="F54"/>
      <c r="G54"/>
      <c r="H54"/>
      <c r="I54"/>
      <c r="J54" s="123"/>
    </row>
    <row r="55" spans="1:10" x14ac:dyDescent="0.25">
      <c r="A55"/>
      <c r="B55"/>
      <c r="C55"/>
      <c r="D55"/>
      <c r="E55"/>
      <c r="F55"/>
      <c r="G55"/>
      <c r="H55"/>
      <c r="I55"/>
      <c r="J55" s="123"/>
    </row>
    <row r="56" spans="1:10" x14ac:dyDescent="0.25">
      <c r="A56"/>
      <c r="B56"/>
      <c r="C56"/>
      <c r="D56"/>
      <c r="E56"/>
      <c r="F56"/>
      <c r="G56"/>
      <c r="H56"/>
      <c r="I56"/>
      <c r="J56" s="123"/>
    </row>
    <row r="57" spans="1:10" x14ac:dyDescent="0.25">
      <c r="A57"/>
      <c r="B57"/>
      <c r="C57"/>
      <c r="D57"/>
      <c r="E57"/>
      <c r="F57"/>
      <c r="G57"/>
      <c r="H57"/>
      <c r="I57"/>
      <c r="J57" s="123"/>
    </row>
    <row r="58" spans="1:10" x14ac:dyDescent="0.25">
      <c r="A58"/>
      <c r="B58"/>
      <c r="C58"/>
      <c r="D58"/>
      <c r="E58"/>
      <c r="F58"/>
      <c r="G58"/>
      <c r="H58"/>
      <c r="I58"/>
      <c r="J58" s="123"/>
    </row>
    <row r="59" spans="1:10" x14ac:dyDescent="0.25">
      <c r="A59"/>
      <c r="B59"/>
      <c r="C59"/>
      <c r="D59"/>
      <c r="E59"/>
      <c r="F59"/>
      <c r="G59"/>
      <c r="H59"/>
      <c r="I59"/>
      <c r="J59" s="123"/>
    </row>
    <row r="60" spans="1:10" x14ac:dyDescent="0.25">
      <c r="A60"/>
      <c r="B60"/>
      <c r="C60"/>
      <c r="D60"/>
      <c r="E60"/>
      <c r="F60"/>
      <c r="G60"/>
      <c r="H60"/>
      <c r="I60"/>
      <c r="J60" s="123"/>
    </row>
    <row r="61" spans="1:10" x14ac:dyDescent="0.25">
      <c r="A61"/>
      <c r="B61"/>
      <c r="C61"/>
      <c r="D61"/>
      <c r="E61"/>
      <c r="F61"/>
      <c r="G61"/>
      <c r="H61"/>
      <c r="I61"/>
      <c r="J61" s="123"/>
    </row>
    <row r="62" spans="1:10" x14ac:dyDescent="0.25">
      <c r="A62"/>
      <c r="B62"/>
      <c r="C62"/>
      <c r="D62"/>
      <c r="E62"/>
      <c r="F62"/>
      <c r="G62"/>
      <c r="H62"/>
      <c r="I62"/>
      <c r="J62" s="123"/>
    </row>
    <row r="63" spans="1:10" x14ac:dyDescent="0.25">
      <c r="A63"/>
      <c r="B63"/>
      <c r="C63"/>
      <c r="D63"/>
      <c r="E63"/>
      <c r="F63"/>
      <c r="G63"/>
      <c r="H63"/>
      <c r="I63"/>
      <c r="J63" s="123"/>
    </row>
    <row r="64" spans="1:10" x14ac:dyDescent="0.25">
      <c r="A64"/>
      <c r="B64"/>
      <c r="C64"/>
      <c r="D64"/>
      <c r="E64"/>
      <c r="F64"/>
      <c r="G64"/>
      <c r="H64"/>
      <c r="I64"/>
      <c r="J64" s="123"/>
    </row>
    <row r="65" spans="1:10" x14ac:dyDescent="0.25">
      <c r="A65"/>
      <c r="B65"/>
      <c r="C65"/>
      <c r="D65"/>
      <c r="E65"/>
      <c r="F65"/>
      <c r="G65"/>
      <c r="H65"/>
      <c r="I65"/>
      <c r="J65" s="123"/>
    </row>
    <row r="66" spans="1:10" x14ac:dyDescent="0.25">
      <c r="A66"/>
      <c r="B66" s="10"/>
      <c r="C66" s="10"/>
      <c r="D66" s="10"/>
      <c r="E66" s="10"/>
      <c r="F66" s="10"/>
      <c r="G66" s="10"/>
      <c r="H66"/>
      <c r="I66"/>
    </row>
    <row r="67" spans="1:10" x14ac:dyDescent="0.25">
      <c r="A67"/>
      <c r="B67" s="140" t="s">
        <v>71</v>
      </c>
      <c r="C67" s="140"/>
      <c r="D67" s="140"/>
      <c r="E67" s="140"/>
      <c r="F67" s="140"/>
      <c r="G67" s="140"/>
      <c r="H67" s="140"/>
      <c r="I67"/>
    </row>
    <row r="68" spans="1:10" x14ac:dyDescent="0.25">
      <c r="A68"/>
      <c r="B68"/>
      <c r="C68"/>
      <c r="D68"/>
      <c r="E68"/>
      <c r="F68"/>
      <c r="G68"/>
      <c r="H68"/>
      <c r="I68"/>
    </row>
    <row r="69" spans="1:10" x14ac:dyDescent="0.25">
      <c r="A69"/>
      <c r="B69"/>
      <c r="C69"/>
      <c r="D69"/>
      <c r="E69"/>
      <c r="F69"/>
      <c r="G69"/>
      <c r="H69"/>
      <c r="I69"/>
    </row>
  </sheetData>
  <customSheetViews>
    <customSheetView guid="{267CC0B3-6A13-40E2-B883-F5101A181CE5}" fitToPage="1" showRuler="0" topLeftCell="A25">
      <selection activeCell="L7" sqref="L7"/>
      <pageMargins left="0.7" right="0.7" top="0.75" bottom="0.75" header="0.3" footer="0.3"/>
      <headerFooter>
        <oddHeader>&amp;C&amp;"Arial,Fett"&amp;12- Projektbericht -</oddHeader>
      </headerFooter>
    </customSheetView>
    <customSheetView guid="{5EA89B68-426F-4FEF-AE0E-44F40F832319}" fitToPage="1" showRuler="0">
      <selection activeCell="F6" sqref="F6"/>
      <pageMargins left="0.7" right="0.7" top="0.75" bottom="0.75" header="0.3" footer="0.3"/>
      <headerFooter>
        <oddHeader>&amp;C&amp;"Arial,Fett"&amp;12- Projektbericht -</oddHeader>
      </headerFooter>
    </customSheetView>
  </customSheetViews>
  <mergeCells count="12">
    <mergeCell ref="B38:H43"/>
    <mergeCell ref="B8:D8"/>
    <mergeCell ref="B9:D9"/>
    <mergeCell ref="B2:H2"/>
    <mergeCell ref="B67:H67"/>
    <mergeCell ref="B6:D6"/>
    <mergeCell ref="B11:D11"/>
    <mergeCell ref="B12:D12"/>
    <mergeCell ref="B15:H24"/>
    <mergeCell ref="B26:H31"/>
    <mergeCell ref="B33:H36"/>
    <mergeCell ref="B7:D7"/>
  </mergeCells>
  <phoneticPr fontId="3" type="noConversion"/>
  <hyperlinks>
    <hyperlink ref="E11" r:id="rId1" xr:uid="{5579A1A1-DA4D-114D-8A28-D4B7F414FB43}"/>
    <hyperlink ref="E6" r:id="rId2" xr:uid="{4B14356A-AAB1-47B4-8D46-334C1AFFB0FB}"/>
    <hyperlink ref="E7" r:id="rId3" xr:uid="{AA9D30F7-6A6C-4959-87A0-124EA031E274}"/>
    <hyperlink ref="E8" r:id="rId4" xr:uid="{2C84892D-1520-4847-8F81-E6960892FAC2}"/>
  </hyperlinks>
  <pageMargins left="0.39370078740157483" right="0.39370078740157483" top="0.51181102362204722" bottom="0.19685039370078741" header="0.23622047244094491" footer="0.27559055118110237"/>
  <pageSetup paperSize="9" scale="88" orientation="portrait" r:id="rId5"/>
  <headerFooter>
    <oddHeader>&amp;C&amp;"Arial,Fett"&amp;12- Projektbericht -</oddHeader>
  </headerFooter>
  <drawing r:id="rId6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Tabelle2">
    <pageSetUpPr fitToPage="1"/>
  </sheetPr>
  <dimension ref="A1:M57"/>
  <sheetViews>
    <sheetView view="pageLayout" zoomScale="82" zoomScalePageLayoutView="82" workbookViewId="0">
      <selection activeCell="I30" sqref="I30"/>
    </sheetView>
  </sheetViews>
  <sheetFormatPr baseColWidth="10" defaultColWidth="11.44140625" defaultRowHeight="13.2" x14ac:dyDescent="0.25"/>
  <cols>
    <col min="1" max="1" width="19.33203125" style="16" customWidth="1"/>
    <col min="2" max="2" width="18.44140625" customWidth="1"/>
    <col min="3" max="5" width="14.44140625" customWidth="1"/>
    <col min="6" max="6" width="15.109375" customWidth="1"/>
    <col min="7" max="8" width="14.6640625" customWidth="1"/>
    <col min="9" max="9" width="16" customWidth="1"/>
    <col min="10" max="10" width="11.6640625" style="36" customWidth="1"/>
    <col min="11" max="11" width="11.33203125" style="36" customWidth="1"/>
    <col min="12" max="12" width="12" customWidth="1"/>
    <col min="13" max="13" width="8.109375" customWidth="1"/>
  </cols>
  <sheetData>
    <row r="1" spans="1:13" x14ac:dyDescent="0.25">
      <c r="A1" s="119" t="s">
        <v>19</v>
      </c>
      <c r="B1" s="7">
        <v>46292</v>
      </c>
      <c r="C1" s="18"/>
      <c r="I1" s="19" t="s">
        <v>58</v>
      </c>
      <c r="K1" s="37"/>
    </row>
    <row r="2" spans="1:13" x14ac:dyDescent="0.25">
      <c r="A2" s="16" t="s">
        <v>17</v>
      </c>
      <c r="B2" s="23">
        <v>7</v>
      </c>
      <c r="C2" s="18"/>
      <c r="I2" s="20" t="s">
        <v>59</v>
      </c>
      <c r="K2" s="38"/>
    </row>
    <row r="3" spans="1:13" ht="13.8" thickBot="1" x14ac:dyDescent="0.3">
      <c r="E3" s="10"/>
      <c r="I3" s="110"/>
    </row>
    <row r="4" spans="1:13" s="5" customFormat="1" ht="13.8" thickBot="1" x14ac:dyDescent="0.3">
      <c r="A4" s="21" t="s">
        <v>18</v>
      </c>
      <c r="B4" s="108"/>
      <c r="C4" s="102" t="s">
        <v>81</v>
      </c>
      <c r="D4" s="103" t="s">
        <v>86</v>
      </c>
      <c r="E4" s="103" t="s">
        <v>82</v>
      </c>
      <c r="F4" s="103" t="s">
        <v>87</v>
      </c>
      <c r="G4" s="103" t="s">
        <v>83</v>
      </c>
      <c r="H4" s="104" t="s">
        <v>84</v>
      </c>
      <c r="I4" s="105" t="s">
        <v>85</v>
      </c>
      <c r="J4" s="39"/>
      <c r="K4" s="125"/>
    </row>
    <row r="5" spans="1:13" x14ac:dyDescent="0.25">
      <c r="A5" s="16">
        <f>B1</f>
        <v>46292</v>
      </c>
      <c r="B5" s="109">
        <f>A5</f>
        <v>46292</v>
      </c>
      <c r="C5" s="101">
        <v>46327</v>
      </c>
      <c r="D5" s="101">
        <v>46334</v>
      </c>
      <c r="E5" s="101">
        <v>46341</v>
      </c>
      <c r="F5" s="101">
        <v>46348</v>
      </c>
      <c r="G5" s="101">
        <v>46355</v>
      </c>
      <c r="H5" s="101">
        <v>46362</v>
      </c>
      <c r="I5" s="101">
        <v>46369</v>
      </c>
      <c r="J5" s="40" t="str">
        <f>IF(B5&gt;$K$23,B5,"")</f>
        <v/>
      </c>
      <c r="K5" s="40">
        <f>MAX(C5:I5)</f>
        <v>46369</v>
      </c>
      <c r="L5" s="27"/>
      <c r="M5" s="36">
        <f>IF(L5=0,B5,"")</f>
        <v>46292</v>
      </c>
    </row>
    <row r="6" spans="1:13" x14ac:dyDescent="0.25">
      <c r="A6" s="16">
        <f>A5+$B$2</f>
        <v>46299</v>
      </c>
      <c r="B6" s="109">
        <f t="shared" ref="B6:B11" si="0">A6</f>
        <v>46299</v>
      </c>
      <c r="C6" s="41">
        <v>46327</v>
      </c>
      <c r="D6" s="41">
        <v>46334</v>
      </c>
      <c r="E6" s="41">
        <v>46341</v>
      </c>
      <c r="F6" s="41">
        <v>46348</v>
      </c>
      <c r="G6" s="41">
        <v>46355</v>
      </c>
      <c r="H6" s="41">
        <v>46362</v>
      </c>
      <c r="I6" s="41">
        <v>46369</v>
      </c>
      <c r="J6" s="40" t="str">
        <f t="shared" ref="J6:J22" si="1">IF(B6&gt;$K$23,B6,"")</f>
        <v/>
      </c>
      <c r="K6" s="40">
        <f t="shared" ref="K6:K22" si="2">MAX(C6:I6)</f>
        <v>46369</v>
      </c>
      <c r="L6" s="27"/>
      <c r="M6" s="36">
        <f t="shared" ref="M6:M22" si="3">IF(L6=0,B6,"")</f>
        <v>46299</v>
      </c>
    </row>
    <row r="7" spans="1:13" x14ac:dyDescent="0.25">
      <c r="A7" s="16">
        <f t="shared" ref="A7:A22" si="4">A6+$B$2</f>
        <v>46306</v>
      </c>
      <c r="B7" s="109">
        <f t="shared" si="0"/>
        <v>46306</v>
      </c>
      <c r="C7" s="41">
        <v>46327</v>
      </c>
      <c r="D7" s="41">
        <v>46334</v>
      </c>
      <c r="E7" s="41">
        <v>46341</v>
      </c>
      <c r="F7" s="41">
        <v>46348</v>
      </c>
      <c r="G7" s="41">
        <v>46355</v>
      </c>
      <c r="H7" s="41">
        <v>46362</v>
      </c>
      <c r="I7" s="41">
        <v>46369</v>
      </c>
      <c r="J7" s="40" t="str">
        <f t="shared" si="1"/>
        <v/>
      </c>
      <c r="K7" s="40">
        <f t="shared" si="2"/>
        <v>46369</v>
      </c>
      <c r="L7" s="27"/>
      <c r="M7" s="36">
        <f t="shared" si="3"/>
        <v>46306</v>
      </c>
    </row>
    <row r="8" spans="1:13" x14ac:dyDescent="0.25">
      <c r="A8" s="16">
        <f t="shared" si="4"/>
        <v>46313</v>
      </c>
      <c r="B8" s="109">
        <f t="shared" si="0"/>
        <v>46313</v>
      </c>
      <c r="C8" s="41">
        <v>46319</v>
      </c>
      <c r="D8" s="41">
        <v>46334</v>
      </c>
      <c r="E8" s="41">
        <v>46341</v>
      </c>
      <c r="F8" s="41">
        <v>46348</v>
      </c>
      <c r="G8" s="41">
        <v>46355</v>
      </c>
      <c r="H8" s="41">
        <v>46362</v>
      </c>
      <c r="I8" s="41">
        <v>46369</v>
      </c>
      <c r="J8" s="40" t="str">
        <f t="shared" si="1"/>
        <v/>
      </c>
      <c r="K8" s="40">
        <f t="shared" si="2"/>
        <v>46369</v>
      </c>
      <c r="L8" s="27"/>
      <c r="M8" s="36">
        <f t="shared" si="3"/>
        <v>46313</v>
      </c>
    </row>
    <row r="9" spans="1:13" x14ac:dyDescent="0.25">
      <c r="A9" s="16">
        <f t="shared" si="4"/>
        <v>46320</v>
      </c>
      <c r="B9" s="109">
        <f t="shared" si="0"/>
        <v>46320</v>
      </c>
      <c r="C9" s="41"/>
      <c r="D9" s="41"/>
      <c r="E9" s="41"/>
      <c r="F9" s="41"/>
      <c r="G9" s="41"/>
      <c r="H9" s="41"/>
      <c r="I9" s="41"/>
      <c r="J9" s="40" t="str">
        <f t="shared" si="1"/>
        <v/>
      </c>
      <c r="K9" s="40">
        <f t="shared" si="2"/>
        <v>0</v>
      </c>
      <c r="L9" s="27"/>
      <c r="M9" s="36">
        <f t="shared" si="3"/>
        <v>46320</v>
      </c>
    </row>
    <row r="10" spans="1:13" x14ac:dyDescent="0.25">
      <c r="A10" s="16">
        <f t="shared" si="4"/>
        <v>46327</v>
      </c>
      <c r="B10" s="109">
        <f t="shared" si="0"/>
        <v>46327</v>
      </c>
      <c r="C10" s="41"/>
      <c r="D10" s="41"/>
      <c r="E10" s="41"/>
      <c r="F10" s="41"/>
      <c r="G10" s="41"/>
      <c r="H10" s="41"/>
      <c r="I10" s="41"/>
      <c r="J10" s="40" t="str">
        <f t="shared" si="1"/>
        <v/>
      </c>
      <c r="K10" s="40">
        <f t="shared" si="2"/>
        <v>0</v>
      </c>
      <c r="L10" s="27"/>
      <c r="M10" s="36">
        <f t="shared" si="3"/>
        <v>46327</v>
      </c>
    </row>
    <row r="11" spans="1:13" x14ac:dyDescent="0.25">
      <c r="A11" s="16">
        <f t="shared" si="4"/>
        <v>46334</v>
      </c>
      <c r="B11" s="109">
        <f t="shared" si="0"/>
        <v>46334</v>
      </c>
      <c r="C11" s="41"/>
      <c r="D11" s="41"/>
      <c r="E11" s="41"/>
      <c r="F11" s="41"/>
      <c r="G11" s="41"/>
      <c r="H11" s="41"/>
      <c r="I11" s="41"/>
      <c r="J11" s="40" t="str">
        <f t="shared" si="1"/>
        <v/>
      </c>
      <c r="K11" s="40">
        <f t="shared" si="2"/>
        <v>0</v>
      </c>
      <c r="L11" s="27"/>
      <c r="M11" s="36">
        <f t="shared" si="3"/>
        <v>46334</v>
      </c>
    </row>
    <row r="12" spans="1:13" x14ac:dyDescent="0.25">
      <c r="A12" s="16">
        <f t="shared" si="4"/>
        <v>46341</v>
      </c>
      <c r="B12" s="109">
        <f t="shared" ref="B12:B22" si="5">A12</f>
        <v>46341</v>
      </c>
      <c r="C12" s="41"/>
      <c r="D12" s="41"/>
      <c r="E12" s="43"/>
      <c r="F12" s="41"/>
      <c r="G12" s="41"/>
      <c r="H12" s="41"/>
      <c r="I12" s="41"/>
      <c r="J12" s="40" t="str">
        <f t="shared" si="1"/>
        <v/>
      </c>
      <c r="K12" s="40">
        <f t="shared" si="2"/>
        <v>0</v>
      </c>
      <c r="L12" s="27"/>
      <c r="M12" s="36">
        <f t="shared" si="3"/>
        <v>46341</v>
      </c>
    </row>
    <row r="13" spans="1:13" x14ac:dyDescent="0.25">
      <c r="A13" s="16">
        <f t="shared" si="4"/>
        <v>46348</v>
      </c>
      <c r="B13" s="109">
        <f t="shared" si="5"/>
        <v>46348</v>
      </c>
      <c r="C13" s="41"/>
      <c r="D13" s="41"/>
      <c r="E13" s="41"/>
      <c r="F13" s="41"/>
      <c r="G13" s="41"/>
      <c r="H13" s="41"/>
      <c r="I13" s="41"/>
      <c r="J13" s="40" t="str">
        <f t="shared" si="1"/>
        <v/>
      </c>
      <c r="K13" s="40">
        <f t="shared" si="2"/>
        <v>0</v>
      </c>
      <c r="L13" s="27"/>
      <c r="M13" s="36">
        <f t="shared" si="3"/>
        <v>46348</v>
      </c>
    </row>
    <row r="14" spans="1:13" x14ac:dyDescent="0.25">
      <c r="A14" s="16">
        <f t="shared" si="4"/>
        <v>46355</v>
      </c>
      <c r="B14" s="109">
        <f t="shared" si="5"/>
        <v>46355</v>
      </c>
      <c r="C14" s="41"/>
      <c r="D14" s="41"/>
      <c r="E14" s="41"/>
      <c r="F14" s="41"/>
      <c r="G14" s="41"/>
      <c r="H14" s="41"/>
      <c r="I14" s="41"/>
      <c r="J14" s="40" t="str">
        <f t="shared" si="1"/>
        <v/>
      </c>
      <c r="K14" s="40">
        <f t="shared" si="2"/>
        <v>0</v>
      </c>
      <c r="L14" s="27"/>
      <c r="M14" s="36">
        <f t="shared" si="3"/>
        <v>46355</v>
      </c>
    </row>
    <row r="15" spans="1:13" x14ac:dyDescent="0.25">
      <c r="A15" s="16">
        <f t="shared" si="4"/>
        <v>46362</v>
      </c>
      <c r="B15" s="109">
        <f t="shared" si="5"/>
        <v>46362</v>
      </c>
      <c r="C15" s="41"/>
      <c r="D15" s="41"/>
      <c r="E15" s="41"/>
      <c r="F15" s="43"/>
      <c r="G15" s="41"/>
      <c r="H15" s="41"/>
      <c r="I15" s="41"/>
      <c r="J15" s="40" t="str">
        <f t="shared" si="1"/>
        <v/>
      </c>
      <c r="K15" s="40">
        <f t="shared" si="2"/>
        <v>0</v>
      </c>
      <c r="L15" s="27"/>
      <c r="M15" s="36">
        <f t="shared" si="3"/>
        <v>46362</v>
      </c>
    </row>
    <row r="16" spans="1:13" x14ac:dyDescent="0.25">
      <c r="A16" s="16">
        <f t="shared" si="4"/>
        <v>46369</v>
      </c>
      <c r="B16" s="109">
        <f t="shared" si="5"/>
        <v>46369</v>
      </c>
      <c r="C16" s="41"/>
      <c r="D16" s="41"/>
      <c r="E16" s="41"/>
      <c r="F16" s="41"/>
      <c r="G16" s="43"/>
      <c r="H16" s="41"/>
      <c r="I16" s="41"/>
      <c r="J16" s="40" t="str">
        <f t="shared" si="1"/>
        <v/>
      </c>
      <c r="K16" s="40">
        <f t="shared" si="2"/>
        <v>0</v>
      </c>
      <c r="L16" s="27"/>
      <c r="M16" s="36">
        <f t="shared" si="3"/>
        <v>46369</v>
      </c>
    </row>
    <row r="17" spans="1:13" x14ac:dyDescent="0.25">
      <c r="A17" s="16">
        <f t="shared" si="4"/>
        <v>46376</v>
      </c>
      <c r="B17" s="109">
        <f t="shared" si="5"/>
        <v>46376</v>
      </c>
      <c r="C17" s="43"/>
      <c r="D17" s="43"/>
      <c r="E17" s="43"/>
      <c r="F17" s="43"/>
      <c r="G17" s="43"/>
      <c r="H17" s="43"/>
      <c r="I17" s="41"/>
      <c r="J17" s="40">
        <f t="shared" si="1"/>
        <v>46376</v>
      </c>
      <c r="K17" s="40">
        <f t="shared" si="2"/>
        <v>0</v>
      </c>
      <c r="L17" s="27"/>
      <c r="M17" s="36">
        <f t="shared" si="3"/>
        <v>46376</v>
      </c>
    </row>
    <row r="18" spans="1:13" x14ac:dyDescent="0.25">
      <c r="A18" s="16">
        <f t="shared" si="4"/>
        <v>46383</v>
      </c>
      <c r="B18" s="109">
        <f t="shared" si="5"/>
        <v>46383</v>
      </c>
      <c r="C18" s="43"/>
      <c r="D18" s="43"/>
      <c r="E18" s="43"/>
      <c r="F18" s="43"/>
      <c r="G18" s="43"/>
      <c r="H18" s="43"/>
      <c r="I18" s="41"/>
      <c r="J18" s="40">
        <f t="shared" si="1"/>
        <v>46383</v>
      </c>
      <c r="K18" s="40">
        <f t="shared" si="2"/>
        <v>0</v>
      </c>
      <c r="L18" s="27"/>
      <c r="M18" s="36">
        <f t="shared" si="3"/>
        <v>46383</v>
      </c>
    </row>
    <row r="19" spans="1:13" x14ac:dyDescent="0.25">
      <c r="A19" s="16">
        <f t="shared" si="4"/>
        <v>46390</v>
      </c>
      <c r="B19" s="109">
        <f t="shared" si="5"/>
        <v>46390</v>
      </c>
      <c r="C19" s="43"/>
      <c r="D19" s="43"/>
      <c r="E19" s="43"/>
      <c r="F19" s="43"/>
      <c r="G19" s="43"/>
      <c r="H19" s="43"/>
      <c r="I19" s="41"/>
      <c r="J19" s="40">
        <f t="shared" si="1"/>
        <v>46390</v>
      </c>
      <c r="K19" s="40">
        <f t="shared" si="2"/>
        <v>0</v>
      </c>
      <c r="L19" s="27"/>
      <c r="M19" s="36">
        <f t="shared" si="3"/>
        <v>46390</v>
      </c>
    </row>
    <row r="20" spans="1:13" x14ac:dyDescent="0.25">
      <c r="A20" s="16">
        <f t="shared" si="4"/>
        <v>46397</v>
      </c>
      <c r="B20" s="109">
        <f t="shared" si="5"/>
        <v>46397</v>
      </c>
      <c r="C20" s="43"/>
      <c r="D20" s="43"/>
      <c r="E20" s="43"/>
      <c r="F20" s="43"/>
      <c r="G20" s="43"/>
      <c r="H20" s="43"/>
      <c r="I20" s="41"/>
      <c r="J20" s="40">
        <f t="shared" si="1"/>
        <v>46397</v>
      </c>
      <c r="K20" s="40">
        <f t="shared" si="2"/>
        <v>0</v>
      </c>
      <c r="L20" s="27"/>
      <c r="M20" s="36">
        <f t="shared" si="3"/>
        <v>46397</v>
      </c>
    </row>
    <row r="21" spans="1:13" x14ac:dyDescent="0.25">
      <c r="A21" s="16">
        <f t="shared" si="4"/>
        <v>46404</v>
      </c>
      <c r="B21" s="109">
        <f t="shared" si="5"/>
        <v>46404</v>
      </c>
      <c r="C21" s="43"/>
      <c r="D21" s="43"/>
      <c r="E21" s="43"/>
      <c r="F21" s="43"/>
      <c r="G21" s="43"/>
      <c r="H21" s="43"/>
      <c r="I21" s="43"/>
      <c r="J21" s="40">
        <f t="shared" si="1"/>
        <v>46404</v>
      </c>
      <c r="K21" s="40">
        <f t="shared" si="2"/>
        <v>0</v>
      </c>
      <c r="L21" s="27"/>
      <c r="M21" s="36">
        <f t="shared" si="3"/>
        <v>46404</v>
      </c>
    </row>
    <row r="22" spans="1:13" x14ac:dyDescent="0.25">
      <c r="A22" s="16">
        <f t="shared" si="4"/>
        <v>46411</v>
      </c>
      <c r="B22" s="109">
        <f t="shared" si="5"/>
        <v>46411</v>
      </c>
      <c r="C22" s="41"/>
      <c r="D22" s="41"/>
      <c r="E22" s="41"/>
      <c r="F22" s="41"/>
      <c r="G22" s="41"/>
      <c r="H22" s="43"/>
      <c r="I22" s="43"/>
      <c r="J22" s="40">
        <f t="shared" si="1"/>
        <v>46411</v>
      </c>
      <c r="K22" s="40">
        <f t="shared" si="2"/>
        <v>0</v>
      </c>
      <c r="L22" s="27"/>
      <c r="M22" s="36">
        <f t="shared" si="3"/>
        <v>46411</v>
      </c>
    </row>
    <row r="23" spans="1:13" x14ac:dyDescent="0.25">
      <c r="B23" s="16"/>
      <c r="C23" s="7"/>
      <c r="D23" s="7"/>
      <c r="E23" s="7"/>
      <c r="F23" s="7"/>
      <c r="G23" s="7"/>
      <c r="H23" s="23"/>
      <c r="I23" s="14"/>
      <c r="J23" s="40">
        <f>MIN(J5:J22)</f>
        <v>46376</v>
      </c>
      <c r="K23" s="40">
        <f>MAX(K5:K22)</f>
        <v>46369</v>
      </c>
      <c r="L23" s="28"/>
    </row>
    <row r="24" spans="1:13" x14ac:dyDescent="0.25">
      <c r="B24" s="25" t="s">
        <v>43</v>
      </c>
      <c r="D24" s="17"/>
      <c r="E24" s="17"/>
      <c r="F24" s="17"/>
      <c r="G24" s="17"/>
      <c r="H24" s="17"/>
    </row>
    <row r="25" spans="1:13" x14ac:dyDescent="0.25">
      <c r="A25" s="42">
        <v>46319</v>
      </c>
      <c r="B25" t="s">
        <v>81</v>
      </c>
      <c r="C25" s="40">
        <f>A25</f>
        <v>46319</v>
      </c>
      <c r="D25" s="40"/>
      <c r="E25" s="40"/>
      <c r="F25" s="40"/>
      <c r="G25" s="40"/>
      <c r="H25" s="40"/>
      <c r="I25" s="36"/>
    </row>
    <row r="26" spans="1:13" x14ac:dyDescent="0.25">
      <c r="A26" s="42"/>
      <c r="C26" s="36"/>
      <c r="D26" s="40">
        <f>A26</f>
        <v>0</v>
      </c>
      <c r="E26" s="36"/>
      <c r="F26" s="36"/>
      <c r="G26" s="36"/>
      <c r="H26" s="36"/>
      <c r="I26" s="36"/>
    </row>
    <row r="27" spans="1:13" x14ac:dyDescent="0.25">
      <c r="A27" s="42"/>
      <c r="C27" s="36"/>
      <c r="D27" s="36"/>
      <c r="E27" s="40">
        <f>A27</f>
        <v>0</v>
      </c>
      <c r="F27" s="36"/>
      <c r="G27" s="36"/>
      <c r="H27" s="36"/>
      <c r="I27" s="36"/>
    </row>
    <row r="28" spans="1:13" x14ac:dyDescent="0.25">
      <c r="A28" s="42"/>
      <c r="C28" s="36"/>
      <c r="D28" s="36"/>
      <c r="E28" s="36"/>
      <c r="F28" s="40">
        <f>A28</f>
        <v>0</v>
      </c>
      <c r="G28" s="36"/>
      <c r="H28" s="36"/>
      <c r="I28" s="36"/>
    </row>
    <row r="29" spans="1:13" x14ac:dyDescent="0.25">
      <c r="A29" s="42"/>
      <c r="C29" s="36"/>
      <c r="D29" s="36"/>
      <c r="E29" s="36"/>
      <c r="F29" s="36"/>
      <c r="G29" s="40">
        <f>A29</f>
        <v>0</v>
      </c>
      <c r="H29" s="36"/>
      <c r="I29" s="36"/>
    </row>
    <row r="30" spans="1:13" x14ac:dyDescent="0.25">
      <c r="A30" s="42"/>
      <c r="C30" s="36"/>
      <c r="D30" s="36"/>
      <c r="E30" s="36"/>
      <c r="F30" s="36"/>
      <c r="G30" s="36"/>
      <c r="H30" s="40">
        <f>A30</f>
        <v>0</v>
      </c>
      <c r="I30" s="36"/>
    </row>
    <row r="31" spans="1:13" x14ac:dyDescent="0.25">
      <c r="A31" s="42"/>
      <c r="C31" s="36"/>
      <c r="D31" s="36"/>
      <c r="E31" s="36"/>
      <c r="F31" s="36"/>
      <c r="G31" s="36"/>
      <c r="H31" s="40"/>
      <c r="I31" s="40">
        <f>A31</f>
        <v>0</v>
      </c>
      <c r="K31" s="40"/>
    </row>
    <row r="33" spans="1:2" x14ac:dyDescent="0.25">
      <c r="A33" s="113" t="s">
        <v>14</v>
      </c>
      <c r="B33" s="114"/>
    </row>
    <row r="34" spans="1:2" x14ac:dyDescent="0.25">
      <c r="A34" s="115" t="s">
        <v>12</v>
      </c>
      <c r="B34" s="116">
        <f>B5</f>
        <v>46292</v>
      </c>
    </row>
    <row r="35" spans="1:2" x14ac:dyDescent="0.25">
      <c r="A35" s="115" t="s">
        <v>13</v>
      </c>
      <c r="B35" s="117">
        <f>B22</f>
        <v>46411</v>
      </c>
    </row>
    <row r="36" spans="1:2" x14ac:dyDescent="0.25">
      <c r="A36" s="115" t="s">
        <v>9</v>
      </c>
      <c r="B36" s="117">
        <v>7</v>
      </c>
    </row>
    <row r="37" spans="1:2" x14ac:dyDescent="0.25">
      <c r="A37" s="115" t="s">
        <v>10</v>
      </c>
      <c r="B37" s="117">
        <v>1</v>
      </c>
    </row>
    <row r="38" spans="1:2" x14ac:dyDescent="0.25">
      <c r="A38" s="115" t="s">
        <v>11</v>
      </c>
      <c r="B38" s="117">
        <f>B34</f>
        <v>46292</v>
      </c>
    </row>
    <row r="39" spans="1:2" x14ac:dyDescent="0.25">
      <c r="A39" s="111" t="s">
        <v>15</v>
      </c>
      <c r="B39" s="112"/>
    </row>
    <row r="40" spans="1:2" x14ac:dyDescent="0.25">
      <c r="A40" s="111" t="s">
        <v>16</v>
      </c>
      <c r="B40" s="112"/>
    </row>
    <row r="41" spans="1:2" x14ac:dyDescent="0.25">
      <c r="A41" s="111" t="s">
        <v>7</v>
      </c>
      <c r="B41" s="112"/>
    </row>
    <row r="42" spans="1:2" x14ac:dyDescent="0.25">
      <c r="A42" s="111" t="s">
        <v>8</v>
      </c>
      <c r="B42" s="112"/>
    </row>
    <row r="43" spans="1:2" x14ac:dyDescent="0.25">
      <c r="A43" s="111" t="s">
        <v>34</v>
      </c>
      <c r="B43" s="112"/>
    </row>
    <row r="45" spans="1:2" ht="15.6" x14ac:dyDescent="0.3">
      <c r="A45" s="107" t="s">
        <v>23</v>
      </c>
    </row>
    <row r="47" spans="1:2" x14ac:dyDescent="0.25">
      <c r="A47" s="44"/>
    </row>
    <row r="48" spans="1:2" x14ac:dyDescent="0.25">
      <c r="A48" s="120" t="s">
        <v>62</v>
      </c>
    </row>
    <row r="50" spans="1:1" x14ac:dyDescent="0.25">
      <c r="A50" s="45"/>
    </row>
    <row r="51" spans="1:1" x14ac:dyDescent="0.25">
      <c r="A51" t="s">
        <v>3</v>
      </c>
    </row>
    <row r="53" spans="1:1" x14ac:dyDescent="0.25">
      <c r="A53" s="80"/>
    </row>
    <row r="54" spans="1:1" x14ac:dyDescent="0.25">
      <c r="A54" t="s">
        <v>4</v>
      </c>
    </row>
    <row r="56" spans="1:1" x14ac:dyDescent="0.25">
      <c r="A56" s="33" t="s">
        <v>5</v>
      </c>
    </row>
    <row r="57" spans="1:1" x14ac:dyDescent="0.25">
      <c r="A57" s="106" t="s">
        <v>6</v>
      </c>
    </row>
  </sheetData>
  <customSheetViews>
    <customSheetView guid="{267CC0B3-6A13-40E2-B883-F5101A181CE5}" showPageBreaks="1" fitToPage="1" printArea="1" view="pageBreakPreview" showRuler="0">
      <selection activeCell="E27" sqref="E27"/>
      <pageMargins left="0.7" right="0.7" top="0.75" bottom="0.75" header="0.3" footer="0.3"/>
    </customSheetView>
    <customSheetView guid="{5EA89B68-426F-4FEF-AE0E-44F40F832319}" fitToPage="1" showRuler="0">
      <selection activeCell="B26" sqref="B26"/>
      <pageMargins left="0.7" right="0.7" top="0.75" bottom="0.75" header="0.3" footer="0.3"/>
    </customSheetView>
  </customSheetViews>
  <phoneticPr fontId="3" type="noConversion"/>
  <pageMargins left="0.26" right="0.31" top="1" bottom="1" header="0.49" footer="0.4921259845"/>
  <pageSetup paperSize="9" scale="54" orientation="portrait" verticalDpi="1200" r:id="rId1"/>
  <drawing r:id="rId2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Tabelle3">
    <pageSetUpPr fitToPage="1"/>
  </sheetPr>
  <dimension ref="A1:M26"/>
  <sheetViews>
    <sheetView view="pageLayout" topLeftCell="A2" zoomScale="96" zoomScalePageLayoutView="96" workbookViewId="0">
      <selection activeCell="J10" sqref="J10"/>
    </sheetView>
  </sheetViews>
  <sheetFormatPr baseColWidth="10" defaultColWidth="11.44140625" defaultRowHeight="13.2" x14ac:dyDescent="0.25"/>
  <cols>
    <col min="1" max="1" width="19.44140625" style="16" customWidth="1"/>
    <col min="2" max="2" width="16.33203125" style="16" customWidth="1"/>
    <col min="3" max="3" width="15.77734375" customWidth="1"/>
    <col min="4" max="4" width="10" style="18" customWidth="1"/>
    <col min="5" max="5" width="16.44140625" style="18" customWidth="1"/>
    <col min="6" max="6" width="12.109375" style="34" customWidth="1"/>
    <col min="7" max="7" width="11.44140625" style="18"/>
    <col min="8" max="8" width="15.109375" style="18" customWidth="1"/>
    <col min="9" max="9" width="10.77734375" style="34" customWidth="1"/>
    <col min="10" max="10" width="10.33203125" style="18" customWidth="1"/>
    <col min="11" max="11" width="9.44140625" style="18" customWidth="1"/>
    <col min="12" max="12" width="3" customWidth="1"/>
    <col min="13" max="13" width="8.77734375" customWidth="1"/>
  </cols>
  <sheetData>
    <row r="1" spans="1:13" x14ac:dyDescent="0.25">
      <c r="A1" s="16" t="s">
        <v>19</v>
      </c>
      <c r="B1" s="17">
        <f>MTA!B1</f>
        <v>46292</v>
      </c>
      <c r="K1" s="20" t="s">
        <v>60</v>
      </c>
    </row>
    <row r="2" spans="1:13" x14ac:dyDescent="0.25">
      <c r="A2" s="16" t="s">
        <v>40</v>
      </c>
      <c r="B2" s="14">
        <f>MTA!B2</f>
        <v>7</v>
      </c>
      <c r="C2" s="17"/>
      <c r="K2" s="20" t="s">
        <v>61</v>
      </c>
    </row>
    <row r="3" spans="1:13" ht="13.8" thickBot="1" x14ac:dyDescent="0.3">
      <c r="B3" s="14"/>
      <c r="C3" s="17"/>
      <c r="K3" s="20"/>
    </row>
    <row r="4" spans="1:13" x14ac:dyDescent="0.25">
      <c r="A4" s="46" t="s">
        <v>54</v>
      </c>
      <c r="B4" s="153" t="s">
        <v>53</v>
      </c>
      <c r="C4" s="154"/>
      <c r="D4" s="149" t="s">
        <v>51</v>
      </c>
      <c r="E4" s="150"/>
      <c r="F4" s="150"/>
      <c r="G4" s="150"/>
      <c r="H4" s="150"/>
      <c r="I4" s="47"/>
      <c r="J4" s="151" t="s">
        <v>52</v>
      </c>
      <c r="K4" s="152"/>
    </row>
    <row r="5" spans="1:13" s="5" customFormat="1" x14ac:dyDescent="0.25">
      <c r="A5" s="50" t="s">
        <v>18</v>
      </c>
      <c r="B5" s="147" t="s">
        <v>20</v>
      </c>
      <c r="C5" s="148"/>
      <c r="D5" s="51" t="s">
        <v>45</v>
      </c>
      <c r="E5" s="52" t="s">
        <v>46</v>
      </c>
      <c r="F5" s="53" t="s">
        <v>47</v>
      </c>
      <c r="G5" s="52" t="s">
        <v>48</v>
      </c>
      <c r="H5" s="52" t="s">
        <v>49</v>
      </c>
      <c r="I5" s="54" t="s">
        <v>50</v>
      </c>
      <c r="J5" s="55" t="s">
        <v>56</v>
      </c>
      <c r="K5" s="56" t="s">
        <v>55</v>
      </c>
    </row>
    <row r="6" spans="1:13" x14ac:dyDescent="0.25">
      <c r="A6" s="69">
        <v>46293</v>
      </c>
      <c r="B6" s="57" t="s">
        <v>21</v>
      </c>
      <c r="C6" s="72">
        <f t="shared" ref="C6:C18" si="0">A6</f>
        <v>46293</v>
      </c>
      <c r="D6" s="75">
        <v>20.5</v>
      </c>
      <c r="E6" s="58">
        <v>0</v>
      </c>
      <c r="F6" s="59">
        <f>E6/MAX(E$6:E$23)</f>
        <v>0</v>
      </c>
      <c r="G6" s="58">
        <v>0</v>
      </c>
      <c r="H6" s="58">
        <v>0</v>
      </c>
      <c r="I6" s="60">
        <f>IF(ISBLANK(G6),"",H6/MAX(E$6:E$23))</f>
        <v>0</v>
      </c>
      <c r="J6" s="59">
        <v>0</v>
      </c>
      <c r="K6" s="60">
        <v>0</v>
      </c>
      <c r="M6" s="5"/>
    </row>
    <row r="7" spans="1:13" x14ac:dyDescent="0.25">
      <c r="A7" s="70">
        <f>A6-1+$B$2</f>
        <v>46299</v>
      </c>
      <c r="B7" s="61">
        <f>C6</f>
        <v>46293</v>
      </c>
      <c r="C7" s="73">
        <f t="shared" si="0"/>
        <v>46299</v>
      </c>
      <c r="D7" s="76">
        <v>10</v>
      </c>
      <c r="E7" s="22">
        <f>IF(ISBLANK(D7),E6,E6+D7)</f>
        <v>10</v>
      </c>
      <c r="F7" s="35">
        <f>E7/MAX(E$6:E$23)</f>
        <v>4.6511627906976744E-2</v>
      </c>
      <c r="G7" s="48">
        <v>5</v>
      </c>
      <c r="H7" s="22">
        <f>IF(G7="",H6,H6+G7)</f>
        <v>5</v>
      </c>
      <c r="I7" s="77">
        <f>H7/MAX(E$6:E$23)</f>
        <v>2.3255813953488372E-2</v>
      </c>
      <c r="J7" s="49">
        <v>0.05</v>
      </c>
      <c r="K7" s="62">
        <v>0.05</v>
      </c>
      <c r="M7" s="5"/>
    </row>
    <row r="8" spans="1:13" x14ac:dyDescent="0.25">
      <c r="A8" s="70">
        <f t="shared" ref="A8:A23" si="1">A7+$B$2</f>
        <v>46306</v>
      </c>
      <c r="B8" s="61">
        <f t="shared" ref="B8:B18" si="2">C7+1</f>
        <v>46300</v>
      </c>
      <c r="C8" s="73">
        <f t="shared" si="0"/>
        <v>46306</v>
      </c>
      <c r="D8" s="76">
        <v>10</v>
      </c>
      <c r="E8" s="22">
        <f t="shared" ref="E8:E23" si="3">IF(ISBLANK(D8),E7,E7+D8)</f>
        <v>20</v>
      </c>
      <c r="F8" s="35">
        <f t="shared" ref="F8:F23" si="4">E8/MAX(E$6:E$23)</f>
        <v>9.3023255813953487E-2</v>
      </c>
      <c r="G8" s="48">
        <v>10</v>
      </c>
      <c r="H8" s="22">
        <f t="shared" ref="H8:H23" si="5">IF(G8="",H7,H7+G8)</f>
        <v>15</v>
      </c>
      <c r="I8" s="77">
        <f t="shared" ref="I8:I23" si="6">IF(ISBLANK(G8),0,H8/MAX(E$6:E$23))</f>
        <v>6.9767441860465115E-2</v>
      </c>
      <c r="J8" s="49">
        <v>0.08</v>
      </c>
      <c r="K8" s="62">
        <v>0.08</v>
      </c>
      <c r="M8" s="5"/>
    </row>
    <row r="9" spans="1:13" x14ac:dyDescent="0.25">
      <c r="A9" s="70">
        <f t="shared" si="1"/>
        <v>46313</v>
      </c>
      <c r="B9" s="61">
        <f t="shared" si="2"/>
        <v>46307</v>
      </c>
      <c r="C9" s="73">
        <f t="shared" si="0"/>
        <v>46313</v>
      </c>
      <c r="D9" s="76">
        <v>15</v>
      </c>
      <c r="E9" s="22">
        <f t="shared" si="3"/>
        <v>35</v>
      </c>
      <c r="F9" s="35">
        <f t="shared" si="4"/>
        <v>0.16279069767441862</v>
      </c>
      <c r="G9" s="48">
        <v>10</v>
      </c>
      <c r="H9" s="22">
        <f t="shared" si="5"/>
        <v>25</v>
      </c>
      <c r="I9" s="77">
        <f t="shared" si="6"/>
        <v>0.11627906976744186</v>
      </c>
      <c r="J9" s="49">
        <v>0.1</v>
      </c>
      <c r="K9" s="62">
        <v>0.1</v>
      </c>
    </row>
    <row r="10" spans="1:13" x14ac:dyDescent="0.25">
      <c r="A10" s="70">
        <f t="shared" si="1"/>
        <v>46320</v>
      </c>
      <c r="B10" s="61">
        <f t="shared" si="2"/>
        <v>46314</v>
      </c>
      <c r="C10" s="73">
        <f t="shared" si="0"/>
        <v>46320</v>
      </c>
      <c r="D10" s="76">
        <v>15</v>
      </c>
      <c r="E10" s="22">
        <f t="shared" si="3"/>
        <v>50</v>
      </c>
      <c r="F10" s="35">
        <f t="shared" si="4"/>
        <v>0.23255813953488372</v>
      </c>
      <c r="G10" s="48">
        <v>17.5</v>
      </c>
      <c r="H10" s="22">
        <f t="shared" si="5"/>
        <v>42.5</v>
      </c>
      <c r="I10" s="77">
        <f t="shared" si="6"/>
        <v>0.19767441860465115</v>
      </c>
      <c r="J10" s="49">
        <v>0.3</v>
      </c>
      <c r="K10" s="62"/>
    </row>
    <row r="11" spans="1:13" x14ac:dyDescent="0.25">
      <c r="A11" s="70">
        <f t="shared" si="1"/>
        <v>46327</v>
      </c>
      <c r="B11" s="61">
        <f t="shared" si="2"/>
        <v>46321</v>
      </c>
      <c r="C11" s="73">
        <f t="shared" si="0"/>
        <v>46327</v>
      </c>
      <c r="D11" s="76">
        <v>18</v>
      </c>
      <c r="E11" s="22">
        <f t="shared" si="3"/>
        <v>68</v>
      </c>
      <c r="F11" s="35">
        <f t="shared" si="4"/>
        <v>0.31627906976744186</v>
      </c>
      <c r="G11" s="48"/>
      <c r="H11" s="22">
        <f t="shared" si="5"/>
        <v>42.5</v>
      </c>
      <c r="I11" s="77">
        <f t="shared" si="6"/>
        <v>0</v>
      </c>
      <c r="J11" s="49">
        <v>0.4</v>
      </c>
      <c r="K11" s="62"/>
    </row>
    <row r="12" spans="1:13" x14ac:dyDescent="0.25">
      <c r="A12" s="70">
        <f t="shared" si="1"/>
        <v>46334</v>
      </c>
      <c r="B12" s="61">
        <f t="shared" si="2"/>
        <v>46328</v>
      </c>
      <c r="C12" s="73">
        <f t="shared" si="0"/>
        <v>46334</v>
      </c>
      <c r="D12" s="76">
        <v>18</v>
      </c>
      <c r="E12" s="22">
        <f t="shared" si="3"/>
        <v>86</v>
      </c>
      <c r="F12" s="35">
        <f t="shared" si="4"/>
        <v>0.4</v>
      </c>
      <c r="G12" s="48"/>
      <c r="H12" s="22">
        <f t="shared" si="5"/>
        <v>42.5</v>
      </c>
      <c r="I12" s="77">
        <f t="shared" si="6"/>
        <v>0</v>
      </c>
      <c r="J12" s="49">
        <v>0.5</v>
      </c>
      <c r="K12" s="62"/>
    </row>
    <row r="13" spans="1:13" x14ac:dyDescent="0.25">
      <c r="A13" s="70">
        <f t="shared" si="1"/>
        <v>46341</v>
      </c>
      <c r="B13" s="61">
        <f t="shared" si="2"/>
        <v>46335</v>
      </c>
      <c r="C13" s="73">
        <f t="shared" si="0"/>
        <v>46341</v>
      </c>
      <c r="D13" s="76">
        <v>18</v>
      </c>
      <c r="E13" s="22">
        <f t="shared" si="3"/>
        <v>104</v>
      </c>
      <c r="F13" s="35">
        <f t="shared" si="4"/>
        <v>0.48372093023255813</v>
      </c>
      <c r="G13" s="48"/>
      <c r="H13" s="22">
        <f t="shared" si="5"/>
        <v>42.5</v>
      </c>
      <c r="I13" s="77">
        <f t="shared" si="6"/>
        <v>0</v>
      </c>
      <c r="J13" s="49">
        <v>0.6</v>
      </c>
      <c r="K13" s="62"/>
    </row>
    <row r="14" spans="1:13" x14ac:dyDescent="0.25">
      <c r="A14" s="70">
        <f t="shared" si="1"/>
        <v>46348</v>
      </c>
      <c r="B14" s="61">
        <f t="shared" si="2"/>
        <v>46342</v>
      </c>
      <c r="C14" s="73">
        <f t="shared" si="0"/>
        <v>46348</v>
      </c>
      <c r="D14" s="76">
        <v>18</v>
      </c>
      <c r="E14" s="22">
        <f t="shared" si="3"/>
        <v>122</v>
      </c>
      <c r="F14" s="35">
        <f t="shared" si="4"/>
        <v>0.56744186046511624</v>
      </c>
      <c r="G14" s="48"/>
      <c r="H14" s="22">
        <f t="shared" si="5"/>
        <v>42.5</v>
      </c>
      <c r="I14" s="77">
        <f t="shared" si="6"/>
        <v>0</v>
      </c>
      <c r="J14" s="49">
        <v>0.7</v>
      </c>
      <c r="K14" s="62"/>
    </row>
    <row r="15" spans="1:13" x14ac:dyDescent="0.25">
      <c r="A15" s="70">
        <f t="shared" si="1"/>
        <v>46355</v>
      </c>
      <c r="B15" s="61">
        <f t="shared" si="2"/>
        <v>46349</v>
      </c>
      <c r="C15" s="73">
        <f t="shared" si="0"/>
        <v>46355</v>
      </c>
      <c r="D15" s="76">
        <v>18</v>
      </c>
      <c r="E15" s="22">
        <f t="shared" si="3"/>
        <v>140</v>
      </c>
      <c r="F15" s="35">
        <f t="shared" si="4"/>
        <v>0.65116279069767447</v>
      </c>
      <c r="G15" s="48"/>
      <c r="H15" s="22">
        <f t="shared" si="5"/>
        <v>42.5</v>
      </c>
      <c r="I15" s="77">
        <f t="shared" si="6"/>
        <v>0</v>
      </c>
      <c r="J15" s="49">
        <v>0.8</v>
      </c>
      <c r="K15" s="62"/>
    </row>
    <row r="16" spans="1:13" x14ac:dyDescent="0.25">
      <c r="A16" s="70">
        <f t="shared" si="1"/>
        <v>46362</v>
      </c>
      <c r="B16" s="61">
        <f t="shared" si="2"/>
        <v>46356</v>
      </c>
      <c r="C16" s="73">
        <f t="shared" si="0"/>
        <v>46362</v>
      </c>
      <c r="D16" s="76">
        <v>25</v>
      </c>
      <c r="E16" s="22">
        <f t="shared" si="3"/>
        <v>165</v>
      </c>
      <c r="F16" s="35">
        <f t="shared" si="4"/>
        <v>0.76744186046511631</v>
      </c>
      <c r="G16" s="48"/>
      <c r="H16" s="22">
        <f t="shared" si="5"/>
        <v>42.5</v>
      </c>
      <c r="I16" s="77">
        <f t="shared" si="6"/>
        <v>0</v>
      </c>
      <c r="J16" s="49">
        <v>0.9</v>
      </c>
      <c r="K16" s="62"/>
    </row>
    <row r="17" spans="1:11" x14ac:dyDescent="0.25">
      <c r="A17" s="70">
        <f t="shared" si="1"/>
        <v>46369</v>
      </c>
      <c r="B17" s="61">
        <f t="shared" si="2"/>
        <v>46363</v>
      </c>
      <c r="C17" s="73">
        <f t="shared" si="0"/>
        <v>46369</v>
      </c>
      <c r="D17" s="76">
        <v>25</v>
      </c>
      <c r="E17" s="22">
        <f t="shared" si="3"/>
        <v>190</v>
      </c>
      <c r="F17" s="35">
        <f t="shared" si="4"/>
        <v>0.88372093023255816</v>
      </c>
      <c r="G17" s="48"/>
      <c r="H17" s="22">
        <f t="shared" si="5"/>
        <v>42.5</v>
      </c>
      <c r="I17" s="77">
        <f t="shared" si="6"/>
        <v>0</v>
      </c>
      <c r="J17" s="49">
        <v>1</v>
      </c>
      <c r="K17" s="62"/>
    </row>
    <row r="18" spans="1:11" x14ac:dyDescent="0.25">
      <c r="A18" s="70">
        <f t="shared" si="1"/>
        <v>46376</v>
      </c>
      <c r="B18" s="61">
        <f t="shared" si="2"/>
        <v>46370</v>
      </c>
      <c r="C18" s="73">
        <f t="shared" si="0"/>
        <v>46376</v>
      </c>
      <c r="D18" s="76">
        <v>25</v>
      </c>
      <c r="E18" s="22">
        <f t="shared" si="3"/>
        <v>215</v>
      </c>
      <c r="F18" s="35">
        <f t="shared" si="4"/>
        <v>1</v>
      </c>
      <c r="G18" s="48"/>
      <c r="H18" s="22">
        <f t="shared" si="5"/>
        <v>42.5</v>
      </c>
      <c r="I18" s="77">
        <f t="shared" si="6"/>
        <v>0</v>
      </c>
      <c r="J18" s="49">
        <v>1</v>
      </c>
      <c r="K18" s="62"/>
    </row>
    <row r="19" spans="1:11" x14ac:dyDescent="0.25">
      <c r="A19" s="70">
        <f t="shared" si="1"/>
        <v>46383</v>
      </c>
      <c r="B19" s="61">
        <f>C18+1</f>
        <v>46377</v>
      </c>
      <c r="C19" s="73">
        <f>A19</f>
        <v>46383</v>
      </c>
      <c r="D19" s="76"/>
      <c r="E19" s="22">
        <f t="shared" si="3"/>
        <v>215</v>
      </c>
      <c r="F19" s="35">
        <f t="shared" si="4"/>
        <v>1</v>
      </c>
      <c r="G19" s="48"/>
      <c r="H19" s="22">
        <f t="shared" si="5"/>
        <v>42.5</v>
      </c>
      <c r="I19" s="77">
        <f t="shared" si="6"/>
        <v>0</v>
      </c>
      <c r="J19" s="49"/>
      <c r="K19" s="62"/>
    </row>
    <row r="20" spans="1:11" x14ac:dyDescent="0.25">
      <c r="A20" s="70">
        <f t="shared" si="1"/>
        <v>46390</v>
      </c>
      <c r="B20" s="61">
        <f>C19+1</f>
        <v>46384</v>
      </c>
      <c r="C20" s="73">
        <f>A20</f>
        <v>46390</v>
      </c>
      <c r="D20" s="76"/>
      <c r="E20" s="22">
        <f t="shared" si="3"/>
        <v>215</v>
      </c>
      <c r="F20" s="35">
        <f t="shared" si="4"/>
        <v>1</v>
      </c>
      <c r="G20" s="48"/>
      <c r="H20" s="22">
        <f t="shared" si="5"/>
        <v>42.5</v>
      </c>
      <c r="I20" s="77">
        <f t="shared" si="6"/>
        <v>0</v>
      </c>
      <c r="J20" s="49"/>
      <c r="K20" s="62"/>
    </row>
    <row r="21" spans="1:11" x14ac:dyDescent="0.25">
      <c r="A21" s="70">
        <f t="shared" si="1"/>
        <v>46397</v>
      </c>
      <c r="B21" s="61">
        <f>C20+1</f>
        <v>46391</v>
      </c>
      <c r="C21" s="73">
        <f>A21</f>
        <v>46397</v>
      </c>
      <c r="D21" s="76"/>
      <c r="E21" s="22">
        <f t="shared" si="3"/>
        <v>215</v>
      </c>
      <c r="F21" s="35">
        <f t="shared" si="4"/>
        <v>1</v>
      </c>
      <c r="G21" s="48"/>
      <c r="H21" s="22">
        <f t="shared" si="5"/>
        <v>42.5</v>
      </c>
      <c r="I21" s="77">
        <f t="shared" si="6"/>
        <v>0</v>
      </c>
      <c r="J21" s="49"/>
      <c r="K21" s="62"/>
    </row>
    <row r="22" spans="1:11" x14ac:dyDescent="0.25">
      <c r="A22" s="70">
        <f t="shared" si="1"/>
        <v>46404</v>
      </c>
      <c r="B22" s="61">
        <f>C21+1</f>
        <v>46398</v>
      </c>
      <c r="C22" s="73">
        <f>A22</f>
        <v>46404</v>
      </c>
      <c r="D22" s="76"/>
      <c r="E22" s="22">
        <f t="shared" si="3"/>
        <v>215</v>
      </c>
      <c r="F22" s="35">
        <f t="shared" si="4"/>
        <v>1</v>
      </c>
      <c r="G22" s="48"/>
      <c r="H22" s="22">
        <f t="shared" si="5"/>
        <v>42.5</v>
      </c>
      <c r="I22" s="77">
        <f t="shared" si="6"/>
        <v>0</v>
      </c>
      <c r="J22" s="49"/>
      <c r="K22" s="62"/>
    </row>
    <row r="23" spans="1:11" x14ac:dyDescent="0.25">
      <c r="A23" s="71">
        <f t="shared" si="1"/>
        <v>46411</v>
      </c>
      <c r="B23" s="63">
        <f>C22+1</f>
        <v>46405</v>
      </c>
      <c r="C23" s="74">
        <f>A23</f>
        <v>46411</v>
      </c>
      <c r="D23" s="78"/>
      <c r="E23" s="64">
        <f t="shared" si="3"/>
        <v>215</v>
      </c>
      <c r="F23" s="65">
        <f t="shared" si="4"/>
        <v>1</v>
      </c>
      <c r="G23" s="66"/>
      <c r="H23" s="64">
        <f t="shared" si="5"/>
        <v>42.5</v>
      </c>
      <c r="I23" s="79">
        <f t="shared" si="6"/>
        <v>0</v>
      </c>
      <c r="J23" s="67"/>
      <c r="K23" s="68"/>
    </row>
    <row r="24" spans="1:11" x14ac:dyDescent="0.25">
      <c r="C24" s="16"/>
      <c r="D24" s="8"/>
      <c r="E24" s="22"/>
      <c r="F24" s="35"/>
      <c r="G24" s="8"/>
      <c r="H24" s="22"/>
      <c r="I24" s="35"/>
      <c r="J24" s="9"/>
      <c r="K24" s="9"/>
    </row>
    <row r="25" spans="1:11" x14ac:dyDescent="0.25">
      <c r="D25" s="44"/>
      <c r="E25" t="s">
        <v>0</v>
      </c>
      <c r="F25"/>
      <c r="G25" s="45"/>
      <c r="H25" t="s">
        <v>1</v>
      </c>
    </row>
    <row r="26" spans="1:11" x14ac:dyDescent="0.25">
      <c r="F26"/>
      <c r="G26"/>
    </row>
  </sheetData>
  <customSheetViews>
    <customSheetView guid="{267CC0B3-6A13-40E2-B883-F5101A181CE5}" scale="60" showPageBreaks="1" fitToPage="1" printArea="1" view="pageBreakPreview" showRuler="0" topLeftCell="A10">
      <selection activeCell="D18" sqref="D18"/>
      <pageMargins left="0.7" right="0.7" top="0.75" bottom="0.75" header="0.3" footer="0.3"/>
    </customSheetView>
    <customSheetView guid="{5EA89B68-426F-4FEF-AE0E-44F40F832319}" fitToPage="1" showRuler="0">
      <selection activeCell="C14" sqref="C14"/>
      <pageMargins left="0.7" right="0.7" top="0.75" bottom="0.75" header="0.3" footer="0.3"/>
    </customSheetView>
  </customSheetViews>
  <mergeCells count="4">
    <mergeCell ref="B5:C5"/>
    <mergeCell ref="D4:H4"/>
    <mergeCell ref="J4:K4"/>
    <mergeCell ref="B4:C4"/>
  </mergeCells>
  <phoneticPr fontId="3" type="noConversion"/>
  <pageMargins left="0.47" right="0.45" top="0.49" bottom="0.37" header="0.37" footer="0.3"/>
  <pageSetup paperSize="9" scale="64" orientation="portrait" verticalDpi="1200" r:id="rId1"/>
  <drawing r:id="rId2"/>
  <extLst>
    <ext xmlns:mx="http://schemas.microsoft.com/office/mac/excel/2008/main" uri="http://schemas.microsoft.com/office/mac/excel/2008/main">
      <mx:PLV Mode="1" OnePage="0" WScale="0"/>
    </ext>
  </extLst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f455e02-c0f5-4dd7-8284-c564916619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Report</vt:lpstr>
      <vt:lpstr>MTA</vt:lpstr>
      <vt:lpstr>Arbeitsanalyse</vt:lpstr>
      <vt:lpstr>Arbeitsanalyse!Druckbereich</vt:lpstr>
      <vt:lpstr>MTA!Druckbereich</vt:lpstr>
      <vt:lpstr>Report!Druckbereich</vt:lpstr>
    </vt:vector>
  </TitlesOfParts>
  <Company>FH O/O/W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Meilensteintrendanalyse</dc:title>
  <dc:subject>Projektmanagement</dc:subject>
  <dc:creator>Prof. Dr. G.J. Veltink</dc:creator>
  <cp:lastModifiedBy>Wölke, Ino</cp:lastModifiedBy>
  <cp:lastPrinted>2007-04-19T13:09:55Z</cp:lastPrinted>
  <dcterms:created xsi:type="dcterms:W3CDTF">2006-03-22T09:27:14Z</dcterms:created>
  <dcterms:modified xsi:type="dcterms:W3CDTF">2026-10-23T19:08:33Z</dcterms:modified>
</cp:coreProperties>
</file>